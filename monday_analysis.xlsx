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Guidance_Accuracy" sheetId="2" state="visible" r:id="rId4"/>
    <sheet name="Growth_Decomposition" sheetId="3" state="visible" r:id="rId5"/>
    <sheet name="Margin_Structure" sheetId="4" state="visible" r:id="rId6"/>
    <sheet name="Cash_Conversion" sheetId="5" state="visible" r:id="rId7"/>
    <sheet name="Deceleration" sheetId="6" state="visible" r:id="rId8"/>
    <sheet name="Findings" sheetId="7" state="visible" r:id="rId9"/>
    <sheet name="Check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<sst xmlns="http://schemas.openxmlformats.org/spreadsheetml/2006/main" count="11515" uniqueCount="4647">
  <si>
    <t xml:space="preserve">monday.com Operating Plan &amp; Rolling Reforecast - Phase 1 Historical Analysis</t>
  </si>
  <si>
    <t xml:space="preserve">Purpose</t>
  </si>
  <si>
    <t xml:space="preserve">Historical analysis of monday.com built entirely on the Phase 0 source book (monday_sourcebook.xlsx). It measures guidance accuracy, places revenue growth beside disclosed KPIs, describes margin and cash-conversion structure, and computes what current guidance arithmetically implies for H2 2026.</t>
  </si>
  <si>
    <t xml:space="preserve">Information cutoff</t>
  </si>
  <si>
    <t xml:space="preserve">October 28, 2026 (inherited from the source book; latest underlying filing August 10, 2026).</t>
  </si>
  <si>
    <t xml:space="preserve">Source</t>
  </si>
  <si>
    <t xml:space="preserve">monday_sourcebook.xlsx only (branch phase0-sourcebook). No new data sources. Every input is a copy of a source-book value with the source-book Row ID (and Source ID) beside it.</t>
  </si>
  <si>
    <t xml:space="preserve">Labels</t>
  </si>
  <si>
    <t xml:space="preserve">Sourced (copied from source book) = blue font hard-code, Row ID adjacent. Derived = black-font live formula. Assumed = none in Phase 1. The second header row of every table states the label for every cell in that column; "Text / label", "Row ID" and "Source ID" columns are identifiers, not data.</t>
  </si>
  <si>
    <t xml:space="preserve">Assumed values</t>
  </si>
  <si>
    <t xml:space="preserve">NONE. Presentation conventions (e.g., pairing guidance range ends low-with-low in the H2-implied table, choosing 2022-2025 as the seasonality window) are stated next to the table and are not data assumptions.</t>
  </si>
  <si>
    <t xml:space="preserve">What Phase 1 does NOT do</t>
  </si>
  <si>
    <t xml:space="preserve">No forecast, no operating plan, no Q3 2026 call, no scenario, no driver model, no assertion that any KPI drives revenue, no smoothing / annualizing / normalizing of any series (the 2025 commission change is shown, not adjusted), no modification of the source book.</t>
  </si>
  <si>
    <t xml:space="preserve">Units</t>
  </si>
  <si>
    <t xml:space="preserve">USD thousands for actuals (as in the source book); USD millions for guidance; percentages as decimals displayed as %; basis points for FX; counts for customers.</t>
  </si>
  <si>
    <t xml:space="preserve">Sheets</t>
  </si>
  <si>
    <t xml:space="preserve">Guidance_Accuracy, Growth_Decomposition, Margin_Structure, Cash_Conversion, Deceleration, Findings, Checks.</t>
  </si>
  <si>
    <t xml:space="preserve">Checks</t>
  </si>
  <si>
    <t xml:space="preserve">Every copied input is re-read from the source book by Row ID and compared (Checks sheet), plus internal arithmetic tie-outs.</t>
  </si>
  <si>
    <t xml:space="preserve">Blank source-book values encountered (left blank, not filled)</t>
  </si>
  <si>
    <t xml:space="preserve">Structural blanks</t>
  </si>
  <si>
    <t xml:space="preserve">YoY growth for 2021 quarters (2020 quarters not in source book); KPI cohorts before their first disclosure (see Growth_Decomposition flags); quarterly FCF guidance outside 2024; revenue FX impact Q3 2024-Q1 2026; commission % for quarters (only annual / half-year disclosed).</t>
  </si>
  <si>
    <t xml:space="preserve">Guidance accuracy: next-quarter guidance vs. reported actual</t>
  </si>
  <si>
    <t xml:space="preserve">Guidance (USD millions) copied from Guidance_History; actuals (USD thousands) copied from Quarterly_Actuals. Every quarter with a guidance vintage issued in the prior quarter's release is included. Q3 2026 guidance (GH-0101/GH-0102) has no actual yet and is excluded.</t>
  </si>
  <si>
    <t xml:space="preserve">Revenue</t>
  </si>
  <si>
    <t xml:space="preserve">Quarter</t>
  </si>
  <si>
    <t xml:space="preserve">GH Row ID</t>
  </si>
  <si>
    <t xml:space="preserve">Source ID</t>
  </si>
  <si>
    <t xml:space="preserve">Guidance issued</t>
  </si>
  <si>
    <t xml:space="preserve">Guidance metric label</t>
  </si>
  <si>
    <t xml:space="preserve">Low (USD m)</t>
  </si>
  <si>
    <t xml:space="preserve">High (USD m)</t>
  </si>
  <si>
    <t xml:space="preserve">Midpoint (USD m)</t>
  </si>
  <si>
    <t xml:space="preserve">Actual (USD k)</t>
  </si>
  <si>
    <t xml:space="preserve">Actual Row ID</t>
  </si>
  <si>
    <t xml:space="preserve">Actual Source ID</t>
  </si>
  <si>
    <t xml:space="preserve">Actual (USD m)</t>
  </si>
  <si>
    <t xml:space="preserve">Actual - midpoint (USD m)</t>
  </si>
  <si>
    <t xml:space="preserve">% difference vs midpoint</t>
  </si>
  <si>
    <t xml:space="preserve">Outcome</t>
  </si>
  <si>
    <t xml:space="preserve">Beat top (1/0)</t>
  </si>
  <si>
    <t xml:space="preserve">In range (1/0)</t>
  </si>
  <si>
    <t xml:space="preserve">Missed bottom (1/0)</t>
  </si>
  <si>
    <t xml:space="preserve">Disclosed FX impact on revenue growth (bps)</t>
  </si>
  <si>
    <t xml:space="preserve">FX Row ID</t>
  </si>
  <si>
    <t xml:space="preserve">FX Source ID</t>
  </si>
  <si>
    <t xml:space="preserve">Disclosed FX impact on non-GAAP op. margin (bps)</t>
  </si>
  <si>
    <t xml:space="preserve">FX assumption stated in the guidance (copied text) and notes</t>
  </si>
  <si>
    <t xml:space="preserve">Text / label</t>
  </si>
  <si>
    <t xml:space="preserve">Source-book Row ID</t>
  </si>
  <si>
    <t xml:space="preserve">Sourced (copied)</t>
  </si>
  <si>
    <t xml:space="preserve">Sourced (copied from source book)</t>
  </si>
  <si>
    <t xml:space="preserve">Derived (formula)</t>
  </si>
  <si>
    <t xml:space="preserve">Sourced text / note</t>
  </si>
  <si>
    <t xml:space="preserve">Q3 2021</t>
  </si>
  <si>
    <t xml:space="preserve">GH-0004</t>
  </si>
  <si>
    <t xml:space="preserve">ER-2021Q2</t>
  </si>
  <si>
    <t xml:space="preserve">QA-0004</t>
  </si>
  <si>
    <t xml:space="preserve">ER-2021Q3</t>
  </si>
  <si>
    <t xml:space="preserve">Q4 2021</t>
  </si>
  <si>
    <t xml:space="preserve">GH-0008</t>
  </si>
  <si>
    <t xml:space="preserve">QA-0006</t>
  </si>
  <si>
    <t xml:space="preserve">ER-2021Q4</t>
  </si>
  <si>
    <t xml:space="preserve">Q1 2022</t>
  </si>
  <si>
    <t xml:space="preserve">GH-0012</t>
  </si>
  <si>
    <t xml:space="preserve">QA-0008</t>
  </si>
  <si>
    <t xml:space="preserve">ER-2022Q1</t>
  </si>
  <si>
    <t xml:space="preserve">QA-1546</t>
  </si>
  <si>
    <t xml:space="preserve">ER-2022Q3</t>
  </si>
  <si>
    <t xml:space="preserve">Q2 2022</t>
  </si>
  <si>
    <t xml:space="preserve">GH-0016</t>
  </si>
  <si>
    <t xml:space="preserve">QA-0009</t>
  </si>
  <si>
    <t xml:space="preserve">ER-2022Q2</t>
  </si>
  <si>
    <t xml:space="preserve">QA-1547</t>
  </si>
  <si>
    <t xml:space="preserve">Q3 2022</t>
  </si>
  <si>
    <t xml:space="preserve">GH-0020</t>
  </si>
  <si>
    <t xml:space="preserve">QA-0011</t>
  </si>
  <si>
    <t xml:space="preserve">QA-1548</t>
  </si>
  <si>
    <t xml:space="preserve">Q4 2022</t>
  </si>
  <si>
    <t xml:space="preserve">GH-0024</t>
  </si>
  <si>
    <t xml:space="preserve">QA-0013</t>
  </si>
  <si>
    <t xml:space="preserve">ER-2022Q4</t>
  </si>
  <si>
    <t xml:space="preserve">QA-1549</t>
  </si>
  <si>
    <t xml:space="preserve">Q1 2023</t>
  </si>
  <si>
    <t xml:space="preserve">GH-0028</t>
  </si>
  <si>
    <t xml:space="preserve">QA-0015</t>
  </si>
  <si>
    <t xml:space="preserve">ER-2023Q1</t>
  </si>
  <si>
    <t xml:space="preserve">QA-1551</t>
  </si>
  <si>
    <t xml:space="preserve">Q2 2023</t>
  </si>
  <si>
    <t xml:space="preserve">GH-0032</t>
  </si>
  <si>
    <t xml:space="preserve">QA-0016</t>
  </si>
  <si>
    <t xml:space="preserve">ER-2023Q2</t>
  </si>
  <si>
    <t xml:space="preserve">QA-1552</t>
  </si>
  <si>
    <t xml:space="preserve">Q3 2023</t>
  </si>
  <si>
    <t xml:space="preserve">GH-0036</t>
  </si>
  <si>
    <t xml:space="preserve">QA-0018</t>
  </si>
  <si>
    <t xml:space="preserve">ER-2023Q3</t>
  </si>
  <si>
    <t xml:space="preserve">QA-1553</t>
  </si>
  <si>
    <t xml:space="preserve">Q4 2023</t>
  </si>
  <si>
    <t xml:space="preserve">GH-0040</t>
  </si>
  <si>
    <t xml:space="preserve">QA-0020</t>
  </si>
  <si>
    <t xml:space="preserve">ER-2023Q4</t>
  </si>
  <si>
    <t xml:space="preserve">QA-1554</t>
  </si>
  <si>
    <t xml:space="preserve">Q1 2024</t>
  </si>
  <si>
    <t xml:space="preserve">GH-0046</t>
  </si>
  <si>
    <t xml:space="preserve">QA-0022</t>
  </si>
  <si>
    <t xml:space="preserve">ER-2024Q1</t>
  </si>
  <si>
    <t xml:space="preserve">QA-1556</t>
  </si>
  <si>
    <t xml:space="preserve">Q2 2024</t>
  </si>
  <si>
    <t xml:space="preserve">GH-0052</t>
  </si>
  <si>
    <t xml:space="preserve">QA-0023</t>
  </si>
  <si>
    <t xml:space="preserve">ER-2024Q2</t>
  </si>
  <si>
    <t xml:space="preserve">QA-1557</t>
  </si>
  <si>
    <t xml:space="preserve">Q3 2024</t>
  </si>
  <si>
    <t xml:space="preserve">GH-0058</t>
  </si>
  <si>
    <t xml:space="preserve">QA-0025</t>
  </si>
  <si>
    <t xml:space="preserve">ER-2024Q3</t>
  </si>
  <si>
    <t xml:space="preserve">Q4 2024</t>
  </si>
  <si>
    <t xml:space="preserve">GH-0064</t>
  </si>
  <si>
    <t xml:space="preserve">QA-0027</t>
  </si>
  <si>
    <t xml:space="preserve">ER-2024Q4</t>
  </si>
  <si>
    <t xml:space="preserve">Q1 2025</t>
  </si>
  <si>
    <t xml:space="preserve">GH-0069</t>
  </si>
  <si>
    <t xml:space="preserve">QA-0029</t>
  </si>
  <si>
    <t xml:space="preserve">ER-2025Q1</t>
  </si>
  <si>
    <t xml:space="preserve">Q2 2025</t>
  </si>
  <si>
    <t xml:space="preserve">GH-0074</t>
  </si>
  <si>
    <t xml:space="preserve">QA-0030</t>
  </si>
  <si>
    <t xml:space="preserve">ER-2025Q2</t>
  </si>
  <si>
    <t xml:space="preserve">Q3 2025</t>
  </si>
  <si>
    <t xml:space="preserve">GH-0079</t>
  </si>
  <si>
    <t xml:space="preserve">QA-0032</t>
  </si>
  <si>
    <t xml:space="preserve">ER-2025Q3</t>
  </si>
  <si>
    <t xml:space="preserve">Q4 2025</t>
  </si>
  <si>
    <t xml:space="preserve">GH-0084</t>
  </si>
  <si>
    <t xml:space="preserve">QA-0034</t>
  </si>
  <si>
    <t xml:space="preserve">ER-2025Q4</t>
  </si>
  <si>
    <t xml:space="preserve">QA-1559</t>
  </si>
  <si>
    <t xml:space="preserve">Q1 2026</t>
  </si>
  <si>
    <t xml:space="preserve">GH-0089</t>
  </si>
  <si>
    <t xml:space="preserve">QA-0036</t>
  </si>
  <si>
    <t xml:space="preserve">ER-2026Q1</t>
  </si>
  <si>
    <t xml:space="preserve">QA-1561</t>
  </si>
  <si>
    <t xml:space="preserve">Q2 2026</t>
  </si>
  <si>
    <t xml:space="preserve">GH-0094</t>
  </si>
  <si>
    <t xml:space="preserve">QA-0037</t>
  </si>
  <si>
    <t xml:space="preserve">ER-2026Q2</t>
  </si>
  <si>
    <t xml:space="preserve">QA-1558</t>
  </si>
  <si>
    <t xml:space="preserve">QA-1562</t>
  </si>
  <si>
    <t xml:space="preserve">Non-GAAP operating income</t>
  </si>
  <si>
    <t xml:space="preserve">GH-0003</t>
  </si>
  <si>
    <t xml:space="preserve">Non-GAAP operating income (loss)</t>
  </si>
  <si>
    <t xml:space="preserve">QA-0668</t>
  </si>
  <si>
    <t xml:space="preserve">Guided as an operating loss; % difference uses ABS(midpoint).</t>
  </si>
  <si>
    <t xml:space="preserve">GH-0007</t>
  </si>
  <si>
    <t xml:space="preserve">QA-0670</t>
  </si>
  <si>
    <t xml:space="preserve">GH-0011</t>
  </si>
  <si>
    <t xml:space="preserve">QA-0672</t>
  </si>
  <si>
    <t xml:space="preserve">GH-0015</t>
  </si>
  <si>
    <t xml:space="preserve">QA-0673</t>
  </si>
  <si>
    <t xml:space="preserve">GH-0019</t>
  </si>
  <si>
    <t xml:space="preserve">QA-0675</t>
  </si>
  <si>
    <t xml:space="preserve">GH-0023</t>
  </si>
  <si>
    <t xml:space="preserve">QA-0677</t>
  </si>
  <si>
    <t xml:space="preserve">GH-0027</t>
  </si>
  <si>
    <t xml:space="preserve">QA-0679</t>
  </si>
  <si>
    <t xml:space="preserve">GH-0031</t>
  </si>
  <si>
    <t xml:space="preserve">QA-0680</t>
  </si>
  <si>
    <t xml:space="preserve">GH-0035</t>
  </si>
  <si>
    <t xml:space="preserve">QA-0682</t>
  </si>
  <si>
    <t xml:space="preserve">GH-0039</t>
  </si>
  <si>
    <t xml:space="preserve">QA-0684</t>
  </si>
  <si>
    <t xml:space="preserve">GH-0045</t>
  </si>
  <si>
    <t xml:space="preserve">QA-0686</t>
  </si>
  <si>
    <t xml:space="preserve">GH-0051</t>
  </si>
  <si>
    <t xml:space="preserve">QA-0687</t>
  </si>
  <si>
    <t xml:space="preserve">GH-0057</t>
  </si>
  <si>
    <t xml:space="preserve">QA-0689</t>
  </si>
  <si>
    <t xml:space="preserve">GH-0063</t>
  </si>
  <si>
    <t xml:space="preserve">QA-0691</t>
  </si>
  <si>
    <t xml:space="preserve">GH-0068</t>
  </si>
  <si>
    <t xml:space="preserve">QA-0693</t>
  </si>
  <si>
    <t xml:space="preserve">GH-0073</t>
  </si>
  <si>
    <t xml:space="preserve">QA-0694</t>
  </si>
  <si>
    <t xml:space="preserve">GH-0078</t>
  </si>
  <si>
    <t xml:space="preserve">QA-0696</t>
  </si>
  <si>
    <t xml:space="preserve">GH-0083</t>
  </si>
  <si>
    <t xml:space="preserve">QA-0698</t>
  </si>
  <si>
    <t xml:space="preserve">FX: from the Q4 2025 release onward the company quantifies FX on non-GAAP operating margin (column V).</t>
  </si>
  <si>
    <t xml:space="preserve">GH-0088</t>
  </si>
  <si>
    <t xml:space="preserve">QA-0700</t>
  </si>
  <si>
    <t xml:space="preserve">Guidance FX assumption: "assuming a negative FX impact of 100 to 200 basis points" FX: from the Q4 2025 release onward the company quantifies FX on non-GAAP operating margin (column V).</t>
  </si>
  <si>
    <t xml:space="preserve">GH-0093</t>
  </si>
  <si>
    <t xml:space="preserve">QA-0701</t>
  </si>
  <si>
    <t xml:space="preserve">Adjusted free cash flow / free cash flow</t>
  </si>
  <si>
    <t xml:space="preserve">GH-0044</t>
  </si>
  <si>
    <t xml:space="preserve">Free cash flow</t>
  </si>
  <si>
    <t xml:space="preserve">QA-1088</t>
  </si>
  <si>
    <t xml:space="preserve">Guided as "free cash flow" (2024); HQ add-back was nil in 2024, so FCF = adjusted FCF for these quarters.</t>
  </si>
  <si>
    <t xml:space="preserve">GH-0050</t>
  </si>
  <si>
    <t xml:space="preserve">QA-1089</t>
  </si>
  <si>
    <t xml:space="preserve">GH-0056</t>
  </si>
  <si>
    <t xml:space="preserve">QA-1091</t>
  </si>
  <si>
    <t xml:space="preserve">GH-0062</t>
  </si>
  <si>
    <t xml:space="preserve">QA-1093</t>
  </si>
  <si>
    <t xml:space="preserve">Summary by metric (Derived; formulas over the blocks above)</t>
  </si>
  <si>
    <t xml:space="preserve">Metric</t>
  </si>
  <si>
    <t xml:space="preserve">Window</t>
  </si>
  <si>
    <t xml:space="preserve">Count</t>
  </si>
  <si>
    <t xml:space="preserve">Average diff (USD m)</t>
  </si>
  <si>
    <t xml:space="preserve">Median diff (USD m)</t>
  </si>
  <si>
    <t xml:space="preserve">Average % diff</t>
  </si>
  <si>
    <t xml:space="preserve">Median % diff</t>
  </si>
  <si>
    <t xml:space="preserve">Std dev of % diff</t>
  </si>
  <si>
    <t xml:space="preserve">Min % diff</t>
  </si>
  <si>
    <t xml:space="preserve">Max % diff</t>
  </si>
  <si>
    <t xml:space="preserve">Beat-top rate</t>
  </si>
  <si>
    <t xml:space="preserve">In-range rate</t>
  </si>
  <si>
    <t xml:space="preserve">Missed-bottom rate</t>
  </si>
  <si>
    <t xml:space="preserve">Quarters covered</t>
  </si>
  <si>
    <t xml:space="preserve">All history</t>
  </si>
  <si>
    <t xml:space="preserve">Last 8 quarters</t>
  </si>
  <si>
    <t xml:space="preserve">Notes: % difference = (actual - midpoint) / ABS(midpoint). Free cash flow quarterly guidance was given only for Q1-Q4 2024 (4 quarters), so "Last 8 quarters" equals all history for that metric. Standard deviation is the sample standard deviation (STDEV). Guidance values are rounded to USD millions by the company.</t>
  </si>
  <si>
    <t xml:space="preserve">Context: full-year guidance vintages vs. full-year actual (Derived comparison; not part of the quarterly summary)</t>
  </si>
  <si>
    <t xml:space="preserve">Fiscal year</t>
  </si>
  <si>
    <t xml:space="preserve">Issued with</t>
  </si>
  <si>
    <t xml:space="preserve">Metric label</t>
  </si>
  <si>
    <t xml:space="preserve">FY actual (USD k)</t>
  </si>
  <si>
    <t xml:space="preserve">FY actual (USD m)</t>
  </si>
  <si>
    <t xml:space="preserve">% difference</t>
  </si>
  <si>
    <t xml:space="preserve">FY 2021</t>
  </si>
  <si>
    <t xml:space="preserve">GH-0001</t>
  </si>
  <si>
    <t xml:space="preserve">Q2 2021</t>
  </si>
  <si>
    <t xml:space="preserve">QA-0671</t>
  </si>
  <si>
    <t xml:space="preserve">GH-0002</t>
  </si>
  <si>
    <t xml:space="preserve">QA-0007</t>
  </si>
  <si>
    <t xml:space="preserve">GH-0005</t>
  </si>
  <si>
    <t xml:space="preserve">GH-0006</t>
  </si>
  <si>
    <t xml:space="preserve">FY 2022</t>
  </si>
  <si>
    <t xml:space="preserve">GH-0009</t>
  </si>
  <si>
    <t xml:space="preserve">QA-0678</t>
  </si>
  <si>
    <t xml:space="preserve">GH-0010</t>
  </si>
  <si>
    <t xml:space="preserve">QA-0014</t>
  </si>
  <si>
    <t xml:space="preserve">GH-0013</t>
  </si>
  <si>
    <t xml:space="preserve">GH-0014</t>
  </si>
  <si>
    <t xml:space="preserve">GH-0017</t>
  </si>
  <si>
    <t xml:space="preserve">GH-0018</t>
  </si>
  <si>
    <t xml:space="preserve">GH-0021</t>
  </si>
  <si>
    <t xml:space="preserve">GH-0022</t>
  </si>
  <si>
    <t xml:space="preserve">FY 2023</t>
  </si>
  <si>
    <t xml:space="preserve">GH-0025</t>
  </si>
  <si>
    <t xml:space="preserve">QA-0685</t>
  </si>
  <si>
    <t xml:space="preserve">GH-0026</t>
  </si>
  <si>
    <t xml:space="preserve">QA-0021</t>
  </si>
  <si>
    <t xml:space="preserve">GH-0029</t>
  </si>
  <si>
    <t xml:space="preserve">GH-0030</t>
  </si>
  <si>
    <t xml:space="preserve">GH-0033</t>
  </si>
  <si>
    <t xml:space="preserve">GH-0034</t>
  </si>
  <si>
    <t xml:space="preserve">GH-0037</t>
  </si>
  <si>
    <t xml:space="preserve">GH-0038</t>
  </si>
  <si>
    <t xml:space="preserve">FY 2024</t>
  </si>
  <si>
    <t xml:space="preserve">GH-0041</t>
  </si>
  <si>
    <t xml:space="preserve">QA-1094</t>
  </si>
  <si>
    <t xml:space="preserve">GH-0042</t>
  </si>
  <si>
    <t xml:space="preserve">QA-0692</t>
  </si>
  <si>
    <t xml:space="preserve">GH-0043</t>
  </si>
  <si>
    <t xml:space="preserve">QA-0028</t>
  </si>
  <si>
    <t xml:space="preserve">GH-0047</t>
  </si>
  <si>
    <t xml:space="preserve">GH-0048</t>
  </si>
  <si>
    <t xml:space="preserve">GH-0049</t>
  </si>
  <si>
    <t xml:space="preserve">GH-0053</t>
  </si>
  <si>
    <t xml:space="preserve">GH-0054</t>
  </si>
  <si>
    <t xml:space="preserve">GH-0055</t>
  </si>
  <si>
    <t xml:space="preserve">GH-0059</t>
  </si>
  <si>
    <t xml:space="preserve">GH-0060</t>
  </si>
  <si>
    <t xml:space="preserve">GH-0061</t>
  </si>
  <si>
    <t xml:space="preserve">FY 2025</t>
  </si>
  <si>
    <t xml:space="preserve">GH-0065</t>
  </si>
  <si>
    <t xml:space="preserve">QA-1101</t>
  </si>
  <si>
    <t xml:space="preserve">GH-0066</t>
  </si>
  <si>
    <t xml:space="preserve">QA-0699</t>
  </si>
  <si>
    <t xml:space="preserve">GH-0067</t>
  </si>
  <si>
    <t xml:space="preserve">QA-0035</t>
  </si>
  <si>
    <t xml:space="preserve">GH-0070</t>
  </si>
  <si>
    <t xml:space="preserve">Adjusted free cash flow</t>
  </si>
  <si>
    <t xml:space="preserve">GH-0071</t>
  </si>
  <si>
    <t xml:space="preserve">GH-0072</t>
  </si>
  <si>
    <t xml:space="preserve">GH-0075</t>
  </si>
  <si>
    <t xml:space="preserve">GH-0076</t>
  </si>
  <si>
    <t xml:space="preserve">GH-0077</t>
  </si>
  <si>
    <t xml:space="preserve">GH-0080</t>
  </si>
  <si>
    <t xml:space="preserve">GH-0081</t>
  </si>
  <si>
    <t xml:space="preserve">GH-0082</t>
  </si>
  <si>
    <t xml:space="preserve">FY2026 guidance vintages contained in the source book Guidance_History (confirmation list)</t>
  </si>
  <si>
    <t xml:space="preserve">Release date</t>
  </si>
  <si>
    <t xml:space="preserve">Period covered</t>
  </si>
  <si>
    <t xml:space="preserve">Low</t>
  </si>
  <si>
    <t xml:space="preserve">High</t>
  </si>
  <si>
    <t xml:space="preserve">Unit</t>
  </si>
  <si>
    <t xml:space="preserve">GH-0085</t>
  </si>
  <si>
    <t xml:space="preserve">FY 2026</t>
  </si>
  <si>
    <t xml:space="preserve">USD millions</t>
  </si>
  <si>
    <t xml:space="preserve">GH-0086</t>
  </si>
  <si>
    <t xml:space="preserve">GH-0087</t>
  </si>
  <si>
    <t xml:space="preserve">GH-0090</t>
  </si>
  <si>
    <t xml:space="preserve">GH-0091</t>
  </si>
  <si>
    <t xml:space="preserve">GH-0092</t>
  </si>
  <si>
    <t xml:space="preserve">GH-0095</t>
  </si>
  <si>
    <t xml:space="preserve">Interim update (6-K, no results)</t>
  </si>
  <si>
    <t xml:space="preserve">FY 2026 adjusted free cash flow margin (%)</t>
  </si>
  <si>
    <t xml:space="preserve">percentage</t>
  </si>
  <si>
    <t xml:space="preserve">6K-20260722-RESTR</t>
  </si>
  <si>
    <t xml:space="preserve">GH-0096</t>
  </si>
  <si>
    <t xml:space="preserve">FY 2026 non-GAAP operating margin (%)</t>
  </si>
  <si>
    <t xml:space="preserve">GH-0097</t>
  </si>
  <si>
    <t xml:space="preserve">FY 2026 revenue growth (year-over-year, %)</t>
  </si>
  <si>
    <t xml:space="preserve">GH-0098</t>
  </si>
  <si>
    <t xml:space="preserve">GH-0099</t>
  </si>
  <si>
    <t xml:space="preserve">GH-0100</t>
  </si>
  <si>
    <t xml:space="preserve">GH-0101</t>
  </si>
  <si>
    <t xml:space="preserve">Q3 2026</t>
  </si>
  <si>
    <t xml:space="preserve">GH-0102</t>
  </si>
  <si>
    <t xml:space="preserve">FY2026 vintages: Feb 9, 2026 (Q4 2025 release), May 11, 2026 (Q1 2026 release), July 22, 2026 (restructuring 6-K: growth/margin percentages only), Aug 10, 2026 (Q2 2026 release). No other FY2026 vintage exists in the source book.</t>
  </si>
  <si>
    <t xml:space="preserve">Revenue growth alongside disclosed KPIs (descriptive only)</t>
  </si>
  <si>
    <t xml:space="preserve">This table places revenue growth next to the KPIs the company discloses. It does not claim that any KPI drives revenue. Blank = not disclosed in the source book for that period.</t>
  </si>
  <si>
    <t xml:space="preserve">Revenue (USD k)</t>
  </si>
  <si>
    <t xml:space="preserve">Row ID</t>
  </si>
  <si>
    <t xml:space="preserve">Revenue YoY growth</t>
  </si>
  <si>
    <t xml:space="preserve">Revenue QoQ growth</t>
  </si>
  <si>
    <t xml:space="preserve">NDR - all customers</t>
  </si>
  <si>
    <t xml:space="preserve">NDR - &gt;10 users</t>
  </si>
  <si>
    <t xml:space="preserve">NDR - &gt;$50k ARR</t>
  </si>
  <si>
    <t xml:space="preserve">NDR - &gt;$100k ARR</t>
  </si>
  <si>
    <t xml:space="preserve">Customers &gt;10 users</t>
  </si>
  <si>
    <t xml:space="preserve">Customers &gt;10 users YoY growth</t>
  </si>
  <si>
    <t xml:space="preserve">Customers &gt;$50k ARR</t>
  </si>
  <si>
    <t xml:space="preserve">Customers &gt;$50k ARR YoY growth</t>
  </si>
  <si>
    <t xml:space="preserve">Customers &gt;$100k ARR</t>
  </si>
  <si>
    <t xml:space="preserve">Customers &gt;$100k ARR YoY growth</t>
  </si>
  <si>
    <t xml:space="preserve">Customers &gt;$500k ARR</t>
  </si>
  <si>
    <t xml:space="preserve">Customers &gt;$500k ARR YoY growth</t>
  </si>
  <si>
    <t xml:space="preserve">ARR share &gt;10 users</t>
  </si>
  <si>
    <t xml:space="preserve">ARR share &gt;$50k</t>
  </si>
  <si>
    <t xml:space="preserve">ARR share &gt;$100k</t>
  </si>
  <si>
    <t xml:space="preserve">ARR share &gt;$500k</t>
  </si>
  <si>
    <t xml:space="preserve">Flags (floors, definition and comparability notes)</t>
  </si>
  <si>
    <t xml:space="preserve">Sourced (copied from source book) (floor where marked)</t>
  </si>
  <si>
    <t xml:space="preserve">Q1 2021</t>
  </si>
  <si>
    <t xml:space="preserve">QA-0001</t>
  </si>
  <si>
    <t xml:space="preserve">QA-1405</t>
  </si>
  <si>
    <t xml:space="preserve">QA-1492</t>
  </si>
  <si>
    <t xml:space="preserve">YoY revenue growth blank: 2020 quarters are not in the source book (history starts Q1 2021). Customer counts and ARR shares are point-in-time; ARR thresholds are nominal USD.</t>
  </si>
  <si>
    <t xml:space="preserve">QA-0002</t>
  </si>
  <si>
    <t xml:space="preserve">QA-1353 (floor)</t>
  </si>
  <si>
    <t xml:space="preserve">QA-1406</t>
  </si>
  <si>
    <t xml:space="preserve">YoY revenue growth blank: 2020 quarters are not in the source book (history starts Q1 2021). NDR - &gt;10 users: floor only (over 125%). &gt;10 users NDR is the only NDR cohort disclosed (cohorts added: all customers Q4 2021, &gt;$50k Q1 2022, &gt;$100k Q4 2023). Customer counts and ARR shares are point-in-time; ARR thresholds are nominal USD.</t>
  </si>
  <si>
    <t xml:space="preserve">QA-1354 (floor)</t>
  </si>
  <si>
    <t xml:space="preserve">QA-1407</t>
  </si>
  <si>
    <t xml:space="preserve">YoY revenue growth blank: 2020 quarters are not in the source book (history starts Q1 2021). NDR - &gt;10 users: floor only (over 130%). Customer counts and ARR shares are point-in-time; ARR thresholds are nominal USD.</t>
  </si>
  <si>
    <t xml:space="preserve">QA-1302 (floor)</t>
  </si>
  <si>
    <t xml:space="preserve">QA-1355 (floor)</t>
  </si>
  <si>
    <t xml:space="preserve">QA-1408</t>
  </si>
  <si>
    <t xml:space="preserve">QA-1510</t>
  </si>
  <si>
    <t xml:space="preserve">YoY revenue growth blank: 2020 quarters are not in the source book (history starts Q1 2021). NDR - all customers: floor only (over 120%). NDR - &gt;10 users: floor only (over 135%). Customer counts and ARR shares are point-in-time; ARR thresholds are nominal USD.</t>
  </si>
  <si>
    <t xml:space="preserve">QA-1303 (floor)</t>
  </si>
  <si>
    <t xml:space="preserve">QA-1356 (floor)</t>
  </si>
  <si>
    <t xml:space="preserve">QA-1334 (floor)</t>
  </si>
  <si>
    <t xml:space="preserve">QA-1409</t>
  </si>
  <si>
    <t xml:space="preserve">QA-1493</t>
  </si>
  <si>
    <t xml:space="preserve">NDR - all customers: floor only (over 125%). NDR - &gt;10 users: floor only (over 135%). NDR - &gt;$50k ARR: floor only (over 150%). Customer counts and ARR shares are point-in-time; ARR thresholds are nominal USD.</t>
  </si>
  <si>
    <t xml:space="preserve">QA-1304 (floor)</t>
  </si>
  <si>
    <t xml:space="preserve">QA-1357 (floor)</t>
  </si>
  <si>
    <t xml:space="preserve">QA-1335 (floor)</t>
  </si>
  <si>
    <t xml:space="preserve">QA-1410</t>
  </si>
  <si>
    <t xml:space="preserve">QA-1305 (floor)</t>
  </si>
  <si>
    <t xml:space="preserve">QA-1358 (floor)</t>
  </si>
  <si>
    <t xml:space="preserve">QA-1336 (floor)</t>
  </si>
  <si>
    <t xml:space="preserve">QA-1411</t>
  </si>
  <si>
    <t xml:space="preserve">NDR - all customers: floor only (over 120%). NDR - &gt;10 users: floor only (over 135%). NDR - &gt;$50k ARR: floor only (over 145%). Customer counts and ARR shares are point-in-time; ARR thresholds are nominal USD.</t>
  </si>
  <si>
    <t xml:space="preserve">QA-1321</t>
  </si>
  <si>
    <t xml:space="preserve">20F-FY2024</t>
  </si>
  <si>
    <t xml:space="preserve">QA-1374</t>
  </si>
  <si>
    <t xml:space="preserve">QA-1352</t>
  </si>
  <si>
    <t xml:space="preserve">QA-1333</t>
  </si>
  <si>
    <t xml:space="preserve">QA-1412</t>
  </si>
  <si>
    <t xml:space="preserve">QA-1379</t>
  </si>
  <si>
    <t xml:space="preserve">NDR - all customers: exact value from 20F-FY2024 later disclosure (release gave a floor). NDR - &gt;10 users: exact value from 20F-FY2024 later disclosure (release gave a floor). NDR - &gt;$50k ARR: exact value from 20F-FY2024 later disclosure (release gave a floor). NDR - &gt;$100k ARR: exact value from 20F-FY2024 later disclosure (release gave a floor). NDR &gt;10 users Q4 2022: release and FY2022/FY2023 20-Fs say "over 130%", FY2024 20-F says 130% (source-book discrepancy D5). Customer counts and ARR shares are point-in-time; ARR thresholds are nominal USD.</t>
  </si>
  <si>
    <t xml:space="preserve">QA-1307 (floor)</t>
  </si>
  <si>
    <t xml:space="preserve">QA-1360 (floor)</t>
  </si>
  <si>
    <t xml:space="preserve">QA-1338 (floor)</t>
  </si>
  <si>
    <t xml:space="preserve">QA-1460</t>
  </si>
  <si>
    <t xml:space="preserve">QA-1413</t>
  </si>
  <si>
    <t xml:space="preserve">QA-1380</t>
  </si>
  <si>
    <t xml:space="preserve">NDR - all customers: floor only (over 115%). NDR - &gt;10 users: floor only (over 125%). NDR - &gt;$50k ARR: floor only (over 125%). Customer counts and ARR shares are point-in-time; ARR thresholds are nominal USD.</t>
  </si>
  <si>
    <t xml:space="preserve">QA-1308 (floor)</t>
  </si>
  <si>
    <t xml:space="preserve">QA-1361 (floor)</t>
  </si>
  <si>
    <t xml:space="preserve">QA-1339 (floor)</t>
  </si>
  <si>
    <t xml:space="preserve">QA-1461</t>
  </si>
  <si>
    <t xml:space="preserve">QA-1414</t>
  </si>
  <si>
    <t xml:space="preserve">QA-1381</t>
  </si>
  <si>
    <t xml:space="preserve">NDR - all customers: floor only (over 110%). NDR - &gt;10 users: floor only (over 120%). NDR - &gt;$50k ARR: floor only (over 120%). Customer counts and ARR shares are point-in-time; ARR thresholds are nominal USD.</t>
  </si>
  <si>
    <t xml:space="preserve">QA-1309 (floor)</t>
  </si>
  <si>
    <t xml:space="preserve">QA-1362 (floor)</t>
  </si>
  <si>
    <t xml:space="preserve">QA-1340 (floor)</t>
  </si>
  <si>
    <t xml:space="preserve">QA-1462</t>
  </si>
  <si>
    <t xml:space="preserve">QA-1415</t>
  </si>
  <si>
    <t xml:space="preserve">QA-1382</t>
  </si>
  <si>
    <t xml:space="preserve">NDR - all customers: floor only (over 110%). NDR - &gt;10 users: floor only (over 115%). NDR - &gt;$50k ARR: floor only (over 115%). Customer counts and ARR shares are point-in-time; ARR thresholds are nominal USD.</t>
  </si>
  <si>
    <t xml:space="preserve">QA-1310</t>
  </si>
  <si>
    <t xml:space="preserve">QA-1363</t>
  </si>
  <si>
    <t xml:space="preserve">QA-1341</t>
  </si>
  <si>
    <t xml:space="preserve">QA-1322</t>
  </si>
  <si>
    <t xml:space="preserve">QA-1463</t>
  </si>
  <si>
    <t xml:space="preserve">QA-1416</t>
  </si>
  <si>
    <t xml:space="preserve">QA-1383</t>
  </si>
  <si>
    <t xml:space="preserve">First quarter with exact (not floor) NDR values; &gt;$100k cohort added. Customer counts and ARR shares are point-in-time; ARR thresholds are nominal USD.</t>
  </si>
  <si>
    <t xml:space="preserve">QA-1311</t>
  </si>
  <si>
    <t xml:space="preserve">QA-1364</t>
  </si>
  <si>
    <t xml:space="preserve">QA-1342</t>
  </si>
  <si>
    <t xml:space="preserve">QA-1323</t>
  </si>
  <si>
    <t xml:space="preserve">QA-1464</t>
  </si>
  <si>
    <t xml:space="preserve">QA-1417</t>
  </si>
  <si>
    <t xml:space="preserve">QA-1384</t>
  </si>
  <si>
    <t xml:space="preserve">Company (FY2025 20-F) says pricing adjustments in 2024 and H1 2025 positively affected NDR; comparability with other periods is limited. Customer counts and ARR shares are point-in-time; ARR thresholds are nominal USD.</t>
  </si>
  <si>
    <t xml:space="preserve">QA-1312</t>
  </si>
  <si>
    <t xml:space="preserve">QA-1365</t>
  </si>
  <si>
    <t xml:space="preserve">QA-1343</t>
  </si>
  <si>
    <t xml:space="preserve">QA-1324</t>
  </si>
  <si>
    <t xml:space="preserve">QA-1465</t>
  </si>
  <si>
    <t xml:space="preserve">QA-1418</t>
  </si>
  <si>
    <t xml:space="preserve">QA-1385</t>
  </si>
  <si>
    <t xml:space="preserve">QA-1313</t>
  </si>
  <si>
    <t xml:space="preserve">QA-1366</t>
  </si>
  <si>
    <t xml:space="preserve">QA-1344</t>
  </si>
  <si>
    <t xml:space="preserve">QA-1325</t>
  </si>
  <si>
    <t xml:space="preserve">QA-1466</t>
  </si>
  <si>
    <t xml:space="preserve">QA-1419</t>
  </si>
  <si>
    <t xml:space="preserve">QA-1386</t>
  </si>
  <si>
    <t xml:space="preserve">QA-1448</t>
  </si>
  <si>
    <t xml:space="preserve">QA-1511</t>
  </si>
  <si>
    <t xml:space="preserve">QA-1494</t>
  </si>
  <si>
    <t xml:space="preserve">QA-1484</t>
  </si>
  <si>
    <t xml:space="preserve">QA-1502</t>
  </si>
  <si>
    <t xml:space="preserve">QA-1314</t>
  </si>
  <si>
    <t xml:space="preserve">QA-1367</t>
  </si>
  <si>
    <t xml:space="preserve">QA-1345</t>
  </si>
  <si>
    <t xml:space="preserve">QA-1326</t>
  </si>
  <si>
    <t xml:space="preserve">QA-1467</t>
  </si>
  <si>
    <t xml:space="preserve">QA-1420</t>
  </si>
  <si>
    <t xml:space="preserve">QA-1387</t>
  </si>
  <si>
    <t xml:space="preserve">QA-1449</t>
  </si>
  <si>
    <t xml:space="preserve">QA-1512</t>
  </si>
  <si>
    <t xml:space="preserve">QA-1495</t>
  </si>
  <si>
    <t xml:space="preserve">QA-1485</t>
  </si>
  <si>
    <t xml:space="preserve">QA-1503</t>
  </si>
  <si>
    <t xml:space="preserve">QA-1315</t>
  </si>
  <si>
    <t xml:space="preserve">QA-1368</t>
  </si>
  <si>
    <t xml:space="preserve">QA-1346</t>
  </si>
  <si>
    <t xml:space="preserve">QA-1327</t>
  </si>
  <si>
    <t xml:space="preserve">QA-1468</t>
  </si>
  <si>
    <t xml:space="preserve">QA-1421</t>
  </si>
  <si>
    <t xml:space="preserve">QA-1388</t>
  </si>
  <si>
    <t xml:space="preserve">QA-1450</t>
  </si>
  <si>
    <t xml:space="preserve">QA-1513</t>
  </si>
  <si>
    <t xml:space="preserve">QA-1496</t>
  </si>
  <si>
    <t xml:space="preserve">QA-1486</t>
  </si>
  <si>
    <t xml:space="preserve">QA-1504</t>
  </si>
  <si>
    <t xml:space="preserve">QA-1316</t>
  </si>
  <si>
    <t xml:space="preserve">QA-1369</t>
  </si>
  <si>
    <t xml:space="preserve">QA-1347</t>
  </si>
  <si>
    <t xml:space="preserve">QA-1328</t>
  </si>
  <si>
    <t xml:space="preserve">QA-1469</t>
  </si>
  <si>
    <t xml:space="preserve">QA-1422</t>
  </si>
  <si>
    <t xml:space="preserve">QA-1389</t>
  </si>
  <si>
    <t xml:space="preserve">QA-1451</t>
  </si>
  <si>
    <t xml:space="preserve">QA-1514</t>
  </si>
  <si>
    <t xml:space="preserve">QA-1497</t>
  </si>
  <si>
    <t xml:space="preserve">QA-1487</t>
  </si>
  <si>
    <t xml:space="preserve">QA-1505</t>
  </si>
  <si>
    <t xml:space="preserve">QA-1317</t>
  </si>
  <si>
    <t xml:space="preserve">QA-1370</t>
  </si>
  <si>
    <t xml:space="preserve">QA-1348</t>
  </si>
  <si>
    <t xml:space="preserve">QA-1329</t>
  </si>
  <si>
    <t xml:space="preserve">QA-1470</t>
  </si>
  <si>
    <t xml:space="preserve">QA-1423</t>
  </si>
  <si>
    <t xml:space="preserve">QA-1390</t>
  </si>
  <si>
    <t xml:space="preserve">QA-1452</t>
  </si>
  <si>
    <t xml:space="preserve">QA-1515</t>
  </si>
  <si>
    <t xml:space="preserve">QA-1498</t>
  </si>
  <si>
    <t xml:space="preserve">QA-1488</t>
  </si>
  <si>
    <t xml:space="preserve">QA-1506</t>
  </si>
  <si>
    <t xml:space="preserve">Company says NDR reflects expansion partly offset by the anniversary of 2024-H1 2025 pricing adjustments. &gt;$500k cohort and ARR-share-by-threshold disclosures begin (comparatives from Q3 2024). Customer counts and ARR shares are point-in-time; ARR thresholds are nominal USD.</t>
  </si>
  <si>
    <t xml:space="preserve">QA-1318</t>
  </si>
  <si>
    <t xml:space="preserve">QA-1371</t>
  </si>
  <si>
    <t xml:space="preserve">QA-1349</t>
  </si>
  <si>
    <t xml:space="preserve">QA-1330</t>
  </si>
  <si>
    <t xml:space="preserve">QA-1471</t>
  </si>
  <si>
    <t xml:space="preserve">QA-1424</t>
  </si>
  <si>
    <t xml:space="preserve">QA-1391</t>
  </si>
  <si>
    <t xml:space="preserve">QA-1453</t>
  </si>
  <si>
    <t xml:space="preserve">QA-1516</t>
  </si>
  <si>
    <t xml:space="preserve">QA-1499</t>
  </si>
  <si>
    <t xml:space="preserve">QA-1489</t>
  </si>
  <si>
    <t xml:space="preserve">QA-1507</t>
  </si>
  <si>
    <t xml:space="preserve">Company says NDR reflects expansion partly offset by the anniversary of 2024-H1 2025 pricing adjustments. Customer counts and ARR shares are point-in-time; ARR thresholds are nominal USD.</t>
  </si>
  <si>
    <t xml:space="preserve">QA-1319</t>
  </si>
  <si>
    <t xml:space="preserve">QA-1372</t>
  </si>
  <si>
    <t xml:space="preserve">QA-1350</t>
  </si>
  <si>
    <t xml:space="preserve">QA-1331</t>
  </si>
  <si>
    <t xml:space="preserve">QA-1472</t>
  </si>
  <si>
    <t xml:space="preserve">QA-1425</t>
  </si>
  <si>
    <t xml:space="preserve">QA-1392</t>
  </si>
  <si>
    <t xml:space="preserve">QA-1454</t>
  </si>
  <si>
    <t xml:space="preserve">QA-1517</t>
  </si>
  <si>
    <t xml:space="preserve">QA-1500</t>
  </si>
  <si>
    <t xml:space="preserve">QA-1490</t>
  </si>
  <si>
    <t xml:space="preserve">QA-1508</t>
  </si>
  <si>
    <t xml:space="preserve">Company says NDR reflects expansion partly offset by the anniversary of 2024-H1 2025 pricing adjustments. Q1 2026: AI Work Platform launched with seats-plus-credits pricing (source book Definitions / Not_Disclosed). Customer counts and ARR shares are point-in-time; ARR thresholds are nominal USD.</t>
  </si>
  <si>
    <t xml:space="preserve">QA-1320</t>
  </si>
  <si>
    <t xml:space="preserve">QA-1373</t>
  </si>
  <si>
    <t xml:space="preserve">QA-1351</t>
  </si>
  <si>
    <t xml:space="preserve">QA-1332</t>
  </si>
  <si>
    <t xml:space="preserve">QA-1473</t>
  </si>
  <si>
    <t xml:space="preserve">QA-1426</t>
  </si>
  <si>
    <t xml:space="preserve">QA-1393</t>
  </si>
  <si>
    <t xml:space="preserve">QA-1455</t>
  </si>
  <si>
    <t xml:space="preserve">QA-1518</t>
  </si>
  <si>
    <t xml:space="preserve">QA-1501</t>
  </si>
  <si>
    <t xml:space="preserve">QA-1491</t>
  </si>
  <si>
    <t xml:space="preserve">QA-1509</t>
  </si>
  <si>
    <t xml:space="preserve">Chart data (Derived links to the table above; for plotting only)</t>
  </si>
  <si>
    <t xml:space="preserve">NDR all (value or floor)</t>
  </si>
  <si>
    <t xml:space="preserve">NDR &gt;$100k</t>
  </si>
  <si>
    <t xml:space="preserve">Customers &gt;$100k YoY growth</t>
  </si>
  <si>
    <t xml:space="preserve">Margin structure: gross margin and operating expense ratios (GAAP and non-GAAP)</t>
  </si>
  <si>
    <t xml:space="preserve">Inputs USD thousands from Quarterly_Actuals (3-month and fiscal-year rows). Ratios are Derived (line / revenue). No adjustment is made for the 2025 commission model change.</t>
  </si>
  <si>
    <t xml:space="preserve">Period</t>
  </si>
  <si>
    <t xml:space="preserve">Basis</t>
  </si>
  <si>
    <t xml:space="preserve">Fiscal quarter</t>
  </si>
  <si>
    <t xml:space="preserve">Gross profit (GAAP) (USD k)</t>
  </si>
  <si>
    <t xml:space="preserve">Gross profit (non-GAAP) (USD k)</t>
  </si>
  <si>
    <t xml:space="preserve">R&amp;D (GAAP) (USD k)</t>
  </si>
  <si>
    <t xml:space="preserve">R&amp;D (non-GAAP) (USD k)</t>
  </si>
  <si>
    <t xml:space="preserve">S&amp;M (GAAP) (USD k)</t>
  </si>
  <si>
    <t xml:space="preserve">S&amp;M (non-GAAP) (USD k)</t>
  </si>
  <si>
    <t xml:space="preserve">G&amp;A (GAAP) (USD k)</t>
  </si>
  <si>
    <t xml:space="preserve">G&amp;A (non-GAAP) (USD k)</t>
  </si>
  <si>
    <t xml:space="preserve">Operating income (GAAP) (USD k)</t>
  </si>
  <si>
    <t xml:space="preserve">Operating income (non-GAAP) (USD k)</t>
  </si>
  <si>
    <t xml:space="preserve">Gross margin (GAAP)</t>
  </si>
  <si>
    <t xml:space="preserve">Gross margin (non-GAAP)</t>
  </si>
  <si>
    <t xml:space="preserve">R&amp;D % rev (GAAP)</t>
  </si>
  <si>
    <t xml:space="preserve">R&amp;D % rev (non-GAAP)</t>
  </si>
  <si>
    <t xml:space="preserve">S&amp;M % rev (GAAP)</t>
  </si>
  <si>
    <t xml:space="preserve">S&amp;M % rev (non-GAAP)</t>
  </si>
  <si>
    <t xml:space="preserve">G&amp;A % rev (GAAP)</t>
  </si>
  <si>
    <t xml:space="preserve">G&amp;A % rev (non-GAAP)</t>
  </si>
  <si>
    <t xml:space="preserve">Operating margin (GAAP)</t>
  </si>
  <si>
    <t xml:space="preserve">Operating margin (non-GAAP)</t>
  </si>
  <si>
    <t xml:space="preserve">Gross margin (non-GAAP): quarter minus same-year FY ratio</t>
  </si>
  <si>
    <t xml:space="preserve">R&amp;D % rev (non-GAAP): quarter minus same-year FY ratio</t>
  </si>
  <si>
    <t xml:space="preserve">S&amp;M % rev (non-GAAP): quarter minus same-year FY ratio</t>
  </si>
  <si>
    <t xml:space="preserve">G&amp;A % rev (non-GAAP): quarter minus same-year FY ratio</t>
  </si>
  <si>
    <t xml:space="preserve">Operating margin (non-GAAP): quarter minus same-year FY ratio</t>
  </si>
  <si>
    <t xml:space="preserve">QA-0077</t>
  </si>
  <si>
    <t xml:space="preserve">QA-0475</t>
  </si>
  <si>
    <t xml:space="preserve">QA-0153</t>
  </si>
  <si>
    <t xml:space="preserve">QA-0551</t>
  </si>
  <si>
    <t xml:space="preserve">QA-0191</t>
  </si>
  <si>
    <t xml:space="preserve">QA-0589</t>
  </si>
  <si>
    <t xml:space="preserve">QA-0229</t>
  </si>
  <si>
    <t xml:space="preserve">QA-0627</t>
  </si>
  <si>
    <t xml:space="preserve">QA-0307</t>
  </si>
  <si>
    <t xml:space="preserve">QA-0665</t>
  </si>
  <si>
    <t xml:space="preserve">QA-0078</t>
  </si>
  <si>
    <t xml:space="preserve">QA-0476</t>
  </si>
  <si>
    <t xml:space="preserve">QA-0154</t>
  </si>
  <si>
    <t xml:space="preserve">QA-0552</t>
  </si>
  <si>
    <t xml:space="preserve">QA-0192</t>
  </si>
  <si>
    <t xml:space="preserve">QA-0590</t>
  </si>
  <si>
    <t xml:space="preserve">QA-0230</t>
  </si>
  <si>
    <t xml:space="preserve">QA-0628</t>
  </si>
  <si>
    <t xml:space="preserve">QA-0308</t>
  </si>
  <si>
    <t xml:space="preserve">QA-0666</t>
  </si>
  <si>
    <t xml:space="preserve">QA-0080</t>
  </si>
  <si>
    <t xml:space="preserve">QA-0478</t>
  </si>
  <si>
    <t xml:space="preserve">QA-0156</t>
  </si>
  <si>
    <t xml:space="preserve">QA-0554</t>
  </si>
  <si>
    <t xml:space="preserve">QA-0194</t>
  </si>
  <si>
    <t xml:space="preserve">QA-0592</t>
  </si>
  <si>
    <t xml:space="preserve">QA-0232</t>
  </si>
  <si>
    <t xml:space="preserve">QA-0630</t>
  </si>
  <si>
    <t xml:space="preserve">QA-0310</t>
  </si>
  <si>
    <t xml:space="preserve">QA-0082</t>
  </si>
  <si>
    <t xml:space="preserve">QA-0480</t>
  </si>
  <si>
    <t xml:space="preserve">QA-0158</t>
  </si>
  <si>
    <t xml:space="preserve">QA-0556</t>
  </si>
  <si>
    <t xml:space="preserve">QA-0196</t>
  </si>
  <si>
    <t xml:space="preserve">QA-0594</t>
  </si>
  <si>
    <t xml:space="preserve">QA-0234</t>
  </si>
  <si>
    <t xml:space="preserve">QA-0632</t>
  </si>
  <si>
    <t xml:space="preserve">QA-0312</t>
  </si>
  <si>
    <t xml:space="preserve">QA-0084</t>
  </si>
  <si>
    <t xml:space="preserve">QA-0482</t>
  </si>
  <si>
    <t xml:space="preserve">QA-0160</t>
  </si>
  <si>
    <t xml:space="preserve">QA-0558</t>
  </si>
  <si>
    <t xml:space="preserve">QA-0198</t>
  </si>
  <si>
    <t xml:space="preserve">QA-0596</t>
  </si>
  <si>
    <t xml:space="preserve">QA-0236</t>
  </si>
  <si>
    <t xml:space="preserve">QA-0634</t>
  </si>
  <si>
    <t xml:space="preserve">QA-0314</t>
  </si>
  <si>
    <t xml:space="preserve">QA-0085</t>
  </si>
  <si>
    <t xml:space="preserve">QA-0483</t>
  </si>
  <si>
    <t xml:space="preserve">QA-0161</t>
  </si>
  <si>
    <t xml:space="preserve">QA-0559</t>
  </si>
  <si>
    <t xml:space="preserve">QA-0199</t>
  </si>
  <si>
    <t xml:space="preserve">QA-0597</t>
  </si>
  <si>
    <t xml:space="preserve">QA-0237</t>
  </si>
  <si>
    <t xml:space="preserve">QA-0635</t>
  </si>
  <si>
    <t xml:space="preserve">QA-0315</t>
  </si>
  <si>
    <t xml:space="preserve">QA-0087</t>
  </si>
  <si>
    <t xml:space="preserve">QA-0485</t>
  </si>
  <si>
    <t xml:space="preserve">QA-0163</t>
  </si>
  <si>
    <t xml:space="preserve">QA-0561</t>
  </si>
  <si>
    <t xml:space="preserve">QA-0201</t>
  </si>
  <si>
    <t xml:space="preserve">QA-0599</t>
  </si>
  <si>
    <t xml:space="preserve">QA-0239</t>
  </si>
  <si>
    <t xml:space="preserve">QA-0637</t>
  </si>
  <si>
    <t xml:space="preserve">QA-0317</t>
  </si>
  <si>
    <t xml:space="preserve">QA-0089</t>
  </si>
  <si>
    <t xml:space="preserve">QA-0487</t>
  </si>
  <si>
    <t xml:space="preserve">QA-0165</t>
  </si>
  <si>
    <t xml:space="preserve">QA-0563</t>
  </si>
  <si>
    <t xml:space="preserve">QA-0203</t>
  </si>
  <si>
    <t xml:space="preserve">QA-0601</t>
  </si>
  <si>
    <t xml:space="preserve">QA-0241</t>
  </si>
  <si>
    <t xml:space="preserve">QA-0639</t>
  </si>
  <si>
    <t xml:space="preserve">QA-0319</t>
  </si>
  <si>
    <t xml:space="preserve">QA-0091</t>
  </si>
  <si>
    <t xml:space="preserve">QA-0489</t>
  </si>
  <si>
    <t xml:space="preserve">QA-0167</t>
  </si>
  <si>
    <t xml:space="preserve">QA-0565</t>
  </si>
  <si>
    <t xml:space="preserve">QA-0205</t>
  </si>
  <si>
    <t xml:space="preserve">QA-0603</t>
  </si>
  <si>
    <t xml:space="preserve">QA-0243</t>
  </si>
  <si>
    <t xml:space="preserve">QA-0641</t>
  </si>
  <si>
    <t xml:space="preserve">QA-0321</t>
  </si>
  <si>
    <t xml:space="preserve">QA-0092</t>
  </si>
  <si>
    <t xml:space="preserve">QA-0490</t>
  </si>
  <si>
    <t xml:space="preserve">QA-0168</t>
  </si>
  <si>
    <t xml:space="preserve">QA-0566</t>
  </si>
  <si>
    <t xml:space="preserve">QA-0206</t>
  </si>
  <si>
    <t xml:space="preserve">QA-0604</t>
  </si>
  <si>
    <t xml:space="preserve">QA-0244</t>
  </si>
  <si>
    <t xml:space="preserve">QA-0642</t>
  </si>
  <si>
    <t xml:space="preserve">QA-0322</t>
  </si>
  <si>
    <t xml:space="preserve">QA-0094</t>
  </si>
  <si>
    <t xml:space="preserve">QA-0492</t>
  </si>
  <si>
    <t xml:space="preserve">QA-0170</t>
  </si>
  <si>
    <t xml:space="preserve">QA-0568</t>
  </si>
  <si>
    <t xml:space="preserve">QA-0208</t>
  </si>
  <si>
    <t xml:space="preserve">QA-0606</t>
  </si>
  <si>
    <t xml:space="preserve">QA-0246</t>
  </si>
  <si>
    <t xml:space="preserve">QA-0644</t>
  </si>
  <si>
    <t xml:space="preserve">QA-0324</t>
  </si>
  <si>
    <t xml:space="preserve">QA-0096</t>
  </si>
  <si>
    <t xml:space="preserve">QA-0494</t>
  </si>
  <si>
    <t xml:space="preserve">QA-0172</t>
  </si>
  <si>
    <t xml:space="preserve">QA-0570</t>
  </si>
  <si>
    <t xml:space="preserve">QA-0210</t>
  </si>
  <si>
    <t xml:space="preserve">QA-0608</t>
  </si>
  <si>
    <t xml:space="preserve">QA-0248</t>
  </si>
  <si>
    <t xml:space="preserve">QA-0646</t>
  </si>
  <si>
    <t xml:space="preserve">QA-0326</t>
  </si>
  <si>
    <t xml:space="preserve">QA-0098</t>
  </si>
  <si>
    <t xml:space="preserve">QA-0496</t>
  </si>
  <si>
    <t xml:space="preserve">QA-0174</t>
  </si>
  <si>
    <t xml:space="preserve">QA-0572</t>
  </si>
  <si>
    <t xml:space="preserve">QA-0212</t>
  </si>
  <si>
    <t xml:space="preserve">QA-0610</t>
  </si>
  <si>
    <t xml:space="preserve">QA-0250</t>
  </si>
  <si>
    <t xml:space="preserve">QA-0648</t>
  </si>
  <si>
    <t xml:space="preserve">QA-0328</t>
  </si>
  <si>
    <t xml:space="preserve">QA-0099</t>
  </si>
  <si>
    <t xml:space="preserve">QA-0497</t>
  </si>
  <si>
    <t xml:space="preserve">QA-0175</t>
  </si>
  <si>
    <t xml:space="preserve">QA-0573</t>
  </si>
  <si>
    <t xml:space="preserve">QA-0213</t>
  </si>
  <si>
    <t xml:space="preserve">QA-0611</t>
  </si>
  <si>
    <t xml:space="preserve">QA-0251</t>
  </si>
  <si>
    <t xml:space="preserve">QA-0649</t>
  </si>
  <si>
    <t xml:space="preserve">QA-0329</t>
  </si>
  <si>
    <t xml:space="preserve">QA-0101</t>
  </si>
  <si>
    <t xml:space="preserve">QA-0499</t>
  </si>
  <si>
    <t xml:space="preserve">QA-0177</t>
  </si>
  <si>
    <t xml:space="preserve">QA-0575</t>
  </si>
  <si>
    <t xml:space="preserve">QA-0215</t>
  </si>
  <si>
    <t xml:space="preserve">QA-0613</t>
  </si>
  <si>
    <t xml:space="preserve">QA-0253</t>
  </si>
  <si>
    <t xml:space="preserve">QA-0651</t>
  </si>
  <si>
    <t xml:space="preserve">QA-0331</t>
  </si>
  <si>
    <t xml:space="preserve">QA-0103</t>
  </si>
  <si>
    <t xml:space="preserve">QA-0501</t>
  </si>
  <si>
    <t xml:space="preserve">QA-0179</t>
  </si>
  <si>
    <t xml:space="preserve">QA-0577</t>
  </si>
  <si>
    <t xml:space="preserve">QA-0217</t>
  </si>
  <si>
    <t xml:space="preserve">QA-0615</t>
  </si>
  <si>
    <t xml:space="preserve">QA-0255</t>
  </si>
  <si>
    <t xml:space="preserve">QA-0653</t>
  </si>
  <si>
    <t xml:space="preserve">QA-0333</t>
  </si>
  <si>
    <t xml:space="preserve">QA-0105</t>
  </si>
  <si>
    <t xml:space="preserve">QA-0503</t>
  </si>
  <si>
    <t xml:space="preserve">QA-0181</t>
  </si>
  <si>
    <t xml:space="preserve">QA-0579</t>
  </si>
  <si>
    <t xml:space="preserve">QA-0219</t>
  </si>
  <si>
    <t xml:space="preserve">QA-0617</t>
  </si>
  <si>
    <t xml:space="preserve">QA-0257</t>
  </si>
  <si>
    <t xml:space="preserve">QA-0655</t>
  </si>
  <si>
    <t xml:space="preserve">QA-0335</t>
  </si>
  <si>
    <t xml:space="preserve">QA-0106</t>
  </si>
  <si>
    <t xml:space="preserve">QA-0504</t>
  </si>
  <si>
    <t xml:space="preserve">QA-0182</t>
  </si>
  <si>
    <t xml:space="preserve">QA-0580</t>
  </si>
  <si>
    <t xml:space="preserve">QA-0220</t>
  </si>
  <si>
    <t xml:space="preserve">QA-0618</t>
  </si>
  <si>
    <t xml:space="preserve">QA-0258</t>
  </si>
  <si>
    <t xml:space="preserve">QA-0656</t>
  </si>
  <si>
    <t xml:space="preserve">QA-0336</t>
  </si>
  <si>
    <t xml:space="preserve">QA-0108</t>
  </si>
  <si>
    <t xml:space="preserve">QA-0506</t>
  </si>
  <si>
    <t xml:space="preserve">QA-0184</t>
  </si>
  <si>
    <t xml:space="preserve">QA-0582</t>
  </si>
  <si>
    <t xml:space="preserve">QA-0222</t>
  </si>
  <si>
    <t xml:space="preserve">QA-0620</t>
  </si>
  <si>
    <t xml:space="preserve">QA-0260</t>
  </si>
  <si>
    <t xml:space="preserve">QA-0658</t>
  </si>
  <si>
    <t xml:space="preserve">QA-0338</t>
  </si>
  <si>
    <t xml:space="preserve">QA-0110</t>
  </si>
  <si>
    <t xml:space="preserve">QA-0508</t>
  </si>
  <si>
    <t xml:space="preserve">QA-0186</t>
  </si>
  <si>
    <t xml:space="preserve">QA-0584</t>
  </si>
  <si>
    <t xml:space="preserve">QA-0224</t>
  </si>
  <si>
    <t xml:space="preserve">QA-0622</t>
  </si>
  <si>
    <t xml:space="preserve">QA-0262</t>
  </si>
  <si>
    <t xml:space="preserve">QA-0660</t>
  </si>
  <si>
    <t xml:space="preserve">QA-0340</t>
  </si>
  <si>
    <t xml:space="preserve">QA-0112</t>
  </si>
  <si>
    <t xml:space="preserve">QA-0510</t>
  </si>
  <si>
    <t xml:space="preserve">QA-0188</t>
  </si>
  <si>
    <t xml:space="preserve">QA-0586</t>
  </si>
  <si>
    <t xml:space="preserve">QA-0226</t>
  </si>
  <si>
    <t xml:space="preserve">QA-0624</t>
  </si>
  <si>
    <t xml:space="preserve">QA-0264</t>
  </si>
  <si>
    <t xml:space="preserve">QA-0662</t>
  </si>
  <si>
    <t xml:space="preserve">QA-0342</t>
  </si>
  <si>
    <t xml:space="preserve">QA-0113</t>
  </si>
  <si>
    <t xml:space="preserve">QA-0511</t>
  </si>
  <si>
    <t xml:space="preserve">QA-0189</t>
  </si>
  <si>
    <t xml:space="preserve">QA-0587</t>
  </si>
  <si>
    <t xml:space="preserve">QA-0227</t>
  </si>
  <si>
    <t xml:space="preserve">QA-0625</t>
  </si>
  <si>
    <t xml:space="preserve">QA-0265</t>
  </si>
  <si>
    <t xml:space="preserve">QA-0663</t>
  </si>
  <si>
    <t xml:space="preserve">QA-0343</t>
  </si>
  <si>
    <t xml:space="preserve">FY</t>
  </si>
  <si>
    <t xml:space="preserve">QA-0083</t>
  </si>
  <si>
    <t xml:space="preserve">QA-0481</t>
  </si>
  <si>
    <t xml:space="preserve">QA-0159</t>
  </si>
  <si>
    <t xml:space="preserve">QA-0557</t>
  </si>
  <si>
    <t xml:space="preserve">QA-0197</t>
  </si>
  <si>
    <t xml:space="preserve">QA-0595</t>
  </si>
  <si>
    <t xml:space="preserve">QA-0235</t>
  </si>
  <si>
    <t xml:space="preserve">QA-0633</t>
  </si>
  <si>
    <t xml:space="preserve">QA-0313</t>
  </si>
  <si>
    <t xml:space="preserve">QA-0090</t>
  </si>
  <si>
    <t xml:space="preserve">QA-0488</t>
  </si>
  <si>
    <t xml:space="preserve">QA-0166</t>
  </si>
  <si>
    <t xml:space="preserve">QA-0564</t>
  </si>
  <si>
    <t xml:space="preserve">QA-0204</t>
  </si>
  <si>
    <t xml:space="preserve">QA-0602</t>
  </si>
  <si>
    <t xml:space="preserve">QA-0242</t>
  </si>
  <si>
    <t xml:space="preserve">QA-0640</t>
  </si>
  <si>
    <t xml:space="preserve">QA-0320</t>
  </si>
  <si>
    <t xml:space="preserve">QA-0097</t>
  </si>
  <si>
    <t xml:space="preserve">QA-0495</t>
  </si>
  <si>
    <t xml:space="preserve">QA-0173</t>
  </si>
  <si>
    <t xml:space="preserve">QA-0571</t>
  </si>
  <si>
    <t xml:space="preserve">QA-0211</t>
  </si>
  <si>
    <t xml:space="preserve">QA-0609</t>
  </si>
  <si>
    <t xml:space="preserve">QA-0249</t>
  </si>
  <si>
    <t xml:space="preserve">QA-0647</t>
  </si>
  <si>
    <t xml:space="preserve">QA-0327</t>
  </si>
  <si>
    <t xml:space="preserve">QA-0104</t>
  </si>
  <si>
    <t xml:space="preserve">QA-0502</t>
  </si>
  <si>
    <t xml:space="preserve">QA-0180</t>
  </si>
  <si>
    <t xml:space="preserve">QA-0578</t>
  </si>
  <si>
    <t xml:space="preserve">QA-0218</t>
  </si>
  <si>
    <t xml:space="preserve">QA-0616</t>
  </si>
  <si>
    <t xml:space="preserve">QA-0256</t>
  </si>
  <si>
    <t xml:space="preserve">QA-0654</t>
  </si>
  <si>
    <t xml:space="preserve">QA-0334</t>
  </si>
  <si>
    <t xml:space="preserve">QA-0111</t>
  </si>
  <si>
    <t xml:space="preserve">QA-0509</t>
  </si>
  <si>
    <t xml:space="preserve">QA-0187</t>
  </si>
  <si>
    <t xml:space="preserve">QA-0585</t>
  </si>
  <si>
    <t xml:space="preserve">QA-0225</t>
  </si>
  <si>
    <t xml:space="preserve">QA-0623</t>
  </si>
  <si>
    <t xml:space="preserve">QA-0263</t>
  </si>
  <si>
    <t xml:space="preserve">QA-0661</t>
  </si>
  <si>
    <t xml:space="preserve">QA-0341</t>
  </si>
  <si>
    <t xml:space="preserve">Seasonality (Derived): average by fiscal quarter, complete years 2022-2025 (2021 excluded: IPO year, operating losses; 2026 incomplete)</t>
  </si>
  <si>
    <t xml:space="preserve">Ratio</t>
  </si>
  <si>
    <t xml:space="preserve">Q1 avg</t>
  </si>
  <si>
    <t xml:space="preserve">Q2 avg</t>
  </si>
  <si>
    <t xml:space="preserve">Q3 avg</t>
  </si>
  <si>
    <t xml:space="preserve">Q4 avg</t>
  </si>
  <si>
    <t xml:space="preserve">Q1 avg deviation vs FY</t>
  </si>
  <si>
    <t xml:space="preserve">Q2 avg deviation vs FY</t>
  </si>
  <si>
    <t xml:space="preserve">Q3 avg deviation vs FY</t>
  </si>
  <si>
    <t xml:space="preserve">Q4 avg deviation vs FY</t>
  </si>
  <si>
    <t xml:space="preserve">Sales &amp; marketing and the 2025 commission model change (NOT comparable across the change; no adjustment made)</t>
  </si>
  <si>
    <t xml:space="preserve">Commissions % of revenue (as reported)</t>
  </si>
  <si>
    <t xml:space="preserve">Commission metric label in source</t>
  </si>
  <si>
    <t xml:space="preserve">AN-0348</t>
  </si>
  <si>
    <t xml:space="preserve">20F-FY2025</t>
  </si>
  <si>
    <t xml:space="preserve">Sales related commissions as % of revenue (FY2025 20-F)</t>
  </si>
  <si>
    <t xml:space="preserve">AN-0349</t>
  </si>
  <si>
    <t xml:space="preserve">AN-0350</t>
  </si>
  <si>
    <t xml:space="preserve">H1 2024</t>
  </si>
  <si>
    <t xml:space="preserve">AN-2041</t>
  </si>
  <si>
    <t xml:space="preserve">H1MDA-2024</t>
  </si>
  <si>
    <t xml:space="preserve">H1 2024: Channel partners' commissions as % of revenue (H1 2024 MD&amp;A)</t>
  </si>
  <si>
    <t xml:space="preserve">H1 2025</t>
  </si>
  <si>
    <t xml:space="preserve">AN-2042</t>
  </si>
  <si>
    <t xml:space="preserve">H1MDA-2025</t>
  </si>
  <si>
    <t xml:space="preserve">H1 2025: Channel partners' commissions as % of revenue (H1 2025 MD&amp;A)</t>
  </si>
  <si>
    <t xml:space="preserve">H1 2026</t>
  </si>
  <si>
    <t xml:space="preserve">AN-2430</t>
  </si>
  <si>
    <t xml:space="preserve">H1MDA-2026</t>
  </si>
  <si>
    <t xml:space="preserve">H1 2026: Sales related commissions as % of revenue (H1 2026 MD&amp;A)</t>
  </si>
  <si>
    <t xml:space="preserve">Partners commission expense decrease due to capitalization, FY2025 (USD millions):</t>
  </si>
  <si>
    <t xml:space="preserve">AN-2085</t>
  </si>
  <si>
    <t xml:space="preserve">READ THIS: The FY2025 20-F states that sales-related commissions fell to ~2% of revenue (from ~5% in 2024 and ~6% in 2023) because of a change in the commissions model, and that partner commission expense decreased $25.2M "due to capitalization".</t>
  </si>
  <si>
    <t xml:space="preserve">More commission cost is now capitalized and amortized over ~3 years, so S&amp;M expense in 2025 and 2026 is NOT comparable with 2023-2024. The S&amp;M ratios above are shown as reported; no restatement, normalization or pro-forma adjustment has been made.</t>
  </si>
  <si>
    <t xml:space="preserve">Commission percentages are rounded whole percentages as disclosed; the 2023-2024 basis ("channel partners' commissions" in earlier filings vs "sales related commissions" in later ones) is itself a wording change.</t>
  </si>
  <si>
    <t xml:space="preserve">Cash conversion: adjusted FCF vs revenue and non-GAAP operating income; Q1-Q2 2026 cash bridge</t>
  </si>
  <si>
    <t xml:space="preserve">Adjusted FCF is the company-defined measure (label and add-back scope change over time: see source-book Definitions). USD thousands.</t>
  </si>
  <si>
    <t xml:space="preserve">Non-GAAP operating income (USD k)</t>
  </si>
  <si>
    <t xml:space="preserve">Operating cash flow (USD k)</t>
  </si>
  <si>
    <t xml:space="preserve">Adjusted FCF / FCF (USD k)</t>
  </si>
  <si>
    <t xml:space="preserve">Adj. FCF % of revenue</t>
  </si>
  <si>
    <t xml:space="preserve">Adj. FCF / non-GAAP op. income (n/m if op. income &lt;= 0)</t>
  </si>
  <si>
    <t xml:space="preserve">OCF % of revenue</t>
  </si>
  <si>
    <t xml:space="preserve">Quarter share of FY adj. FCF</t>
  </si>
  <si>
    <t xml:space="preserve">QA-0929</t>
  </si>
  <si>
    <t xml:space="preserve">QA-1067</t>
  </si>
  <si>
    <t xml:space="preserve">QA-0930</t>
  </si>
  <si>
    <t xml:space="preserve">QA-1068</t>
  </si>
  <si>
    <t xml:space="preserve">QA-0932</t>
  </si>
  <si>
    <t xml:space="preserve">QA-1070</t>
  </si>
  <si>
    <t xml:space="preserve">QA-0934</t>
  </si>
  <si>
    <t xml:space="preserve">QA-1072</t>
  </si>
  <si>
    <t xml:space="preserve">QA-0936</t>
  </si>
  <si>
    <t xml:space="preserve">QA-1074</t>
  </si>
  <si>
    <t xml:space="preserve">QA-0937</t>
  </si>
  <si>
    <t xml:space="preserve">QA-1075</t>
  </si>
  <si>
    <t xml:space="preserve">QA-0939</t>
  </si>
  <si>
    <t xml:space="preserve">QA-1077</t>
  </si>
  <si>
    <t xml:space="preserve">QA-0941</t>
  </si>
  <si>
    <t xml:space="preserve">QA-1079</t>
  </si>
  <si>
    <t xml:space="preserve">QA-0943</t>
  </si>
  <si>
    <t xml:space="preserve">QA-1081</t>
  </si>
  <si>
    <t xml:space="preserve">QA-0944</t>
  </si>
  <si>
    <t xml:space="preserve">QA-1082</t>
  </si>
  <si>
    <t xml:space="preserve">QA-0946</t>
  </si>
  <si>
    <t xml:space="preserve">QA-1084</t>
  </si>
  <si>
    <t xml:space="preserve">QA-0948</t>
  </si>
  <si>
    <t xml:space="preserve">QA-1086</t>
  </si>
  <si>
    <t xml:space="preserve">QA-0950</t>
  </si>
  <si>
    <t xml:space="preserve">QA-0951</t>
  </si>
  <si>
    <t xml:space="preserve">QA-0953</t>
  </si>
  <si>
    <t xml:space="preserve">QA-0955</t>
  </si>
  <si>
    <t xml:space="preserve">QA-0957</t>
  </si>
  <si>
    <t xml:space="preserve">QA-1095</t>
  </si>
  <si>
    <t xml:space="preserve">QA-0958</t>
  </si>
  <si>
    <t xml:space="preserve">QA-1096</t>
  </si>
  <si>
    <t xml:space="preserve">QA-0960</t>
  </si>
  <si>
    <t xml:space="preserve">QA-1098</t>
  </si>
  <si>
    <t xml:space="preserve">QA-0962</t>
  </si>
  <si>
    <t xml:space="preserve">QA-1100</t>
  </si>
  <si>
    <t xml:space="preserve">QA-0964</t>
  </si>
  <si>
    <t xml:space="preserve">QA-1102</t>
  </si>
  <si>
    <t xml:space="preserve">QA-0965</t>
  </si>
  <si>
    <t xml:space="preserve">QA-1103</t>
  </si>
  <si>
    <t xml:space="preserve">QA-0935</t>
  </si>
  <si>
    <t xml:space="preserve">QA-1073</t>
  </si>
  <si>
    <t xml:space="preserve">QA-0942</t>
  </si>
  <si>
    <t xml:space="preserve">QA-1080</t>
  </si>
  <si>
    <t xml:space="preserve">QA-0949</t>
  </si>
  <si>
    <t xml:space="preserve">QA-1087</t>
  </si>
  <si>
    <t xml:space="preserve">QA-0956</t>
  </si>
  <si>
    <t xml:space="preserve">QA-0963</t>
  </si>
  <si>
    <t xml:space="preserve">Seasonality (Derived): averages by fiscal quarter</t>
  </si>
  <si>
    <t xml:space="preserve">Measure</t>
  </si>
  <si>
    <t xml:space="preserve">Years</t>
  </si>
  <si>
    <t xml:space="preserve">Q1</t>
  </si>
  <si>
    <t xml:space="preserve">Q2</t>
  </si>
  <si>
    <t xml:space="preserve">Q3</t>
  </si>
  <si>
    <t xml:space="preserve">Q4</t>
  </si>
  <si>
    <t xml:space="preserve">2022-2025</t>
  </si>
  <si>
    <t xml:space="preserve">2023-2025</t>
  </si>
  <si>
    <t xml:space="preserve">2023-2025 = years with positive non-GAAP operating income and positive FCF in every quarter; 2022 includes negative-FCF quarters. "Quarter share of FY" uses each year's FY adjusted FCF.</t>
  </si>
  <si>
    <t xml:space="preserve">Cash and cash equivalents bridge, Q1-Q2 2026 (disclosed items only; "other" is the Derived residual)</t>
  </si>
  <si>
    <t xml:space="preserve">Line</t>
  </si>
  <si>
    <t xml:space="preserve">Q1 2026 (USD k)</t>
  </si>
  <si>
    <t xml:space="preserve">Q2 2026 (USD k)</t>
  </si>
  <si>
    <t xml:space="preserve">H1 2026 (USD k)</t>
  </si>
  <si>
    <t xml:space="preserve">Label</t>
  </si>
  <si>
    <t xml:space="preserve">Sourced / Derived</t>
  </si>
  <si>
    <t xml:space="preserve">Opening cash and cash equivalents</t>
  </si>
  <si>
    <t xml:space="preserve">QA-1231</t>
  </si>
  <si>
    <t xml:space="preserve">QA-1232</t>
  </si>
  <si>
    <t xml:space="preserve">Sourced</t>
  </si>
  <si>
    <t xml:space="preserve">Net cash provided by operating activities</t>
  </si>
  <si>
    <t xml:space="preserve">Purchase of property and equipment</t>
  </si>
  <si>
    <t xml:space="preserve">QA-1002</t>
  </si>
  <si>
    <t xml:space="preserve">QA-1003</t>
  </si>
  <si>
    <t xml:space="preserve">Capitalized software development costs</t>
  </si>
  <si>
    <t xml:space="preserve">QA-1040</t>
  </si>
  <si>
    <t xml:space="preserve">QA-1041</t>
  </si>
  <si>
    <t xml:space="preserve">Repurchase of ordinary shares</t>
  </si>
  <si>
    <t xml:space="preserve">QA-1200</t>
  </si>
  <si>
    <t xml:space="preserve">QA-1201</t>
  </si>
  <si>
    <t xml:space="preserve">Other (residual: all other investing and financing flows, e.g. marketable-securities purchases/maturities, OneAI acquisition, private investments, option exercises, tax advances; not itemized in the source book quarterly)</t>
  </si>
  <si>
    <t xml:space="preserve">Derived (residual)</t>
  </si>
  <si>
    <t xml:space="preserve">Closing cash and cash equivalents</t>
  </si>
  <si>
    <t xml:space="preserve">QA-1233</t>
  </si>
  <si>
    <t xml:space="preserve">Memo: marketable securities (point-in-time)</t>
  </si>
  <si>
    <t xml:space="preserve">Marketable securities, Dec 31, 2025</t>
  </si>
  <si>
    <t xml:space="preserve">QA-1242</t>
  </si>
  <si>
    <t xml:space="preserve">Marketable securities, Mar 31, 2026</t>
  </si>
  <si>
    <t xml:space="preserve">QA-1243</t>
  </si>
  <si>
    <t xml:space="preserve">Marketable securities, Jun 30, 2026</t>
  </si>
  <si>
    <t xml:space="preserve">QA-1244</t>
  </si>
  <si>
    <t xml:space="preserve">Cash, equivalents and marketable securities: change Dec 31, 2025 to Jun 30, 2026</t>
  </si>
  <si>
    <t xml:space="preserve">Derived</t>
  </si>
  <si>
    <t xml:space="preserve">Memo: H1 2026 operating cash flow and repurchases per the 6M rows (for tie-out in Checks)</t>
  </si>
  <si>
    <t xml:space="preserve">OCF 6M 2026</t>
  </si>
  <si>
    <t xml:space="preserve">QA-0966</t>
  </si>
  <si>
    <t xml:space="preserve">Repurchases 6M 2026</t>
  </si>
  <si>
    <t xml:space="preserve">QA-1202</t>
  </si>
  <si>
    <t xml:space="preserve">Revenue growth, FX-adjusted view where disclosed, and what Q3 / FY2026 guidance implies for H2 2026</t>
  </si>
  <si>
    <t xml:space="preserve">All growth rates and implied values are Derived from copied inputs. Implied figures are arithmetic on company guidance, not a forecast.</t>
  </si>
  <si>
    <t xml:space="preserve">Prior-year quarter revenue (USD k)</t>
  </si>
  <si>
    <t xml:space="preserve">Reported YoY growth</t>
  </si>
  <si>
    <t xml:space="preserve">Change vs prior quarter (pp)</t>
  </si>
  <si>
    <t xml:space="preserve">Disclosed FX impact on revenue growth (bps; negative = unfavorable)</t>
  </si>
  <si>
    <t xml:space="preserve">FX-adjusted YoY growth = reported - FX impact</t>
  </si>
  <si>
    <t xml:space="preserve">Note</t>
  </si>
  <si>
    <t xml:space="preserve">Prior-year quarter not in source book (history starts Q1 2021).</t>
  </si>
  <si>
    <t xml:space="preserve">FX table precision is whole percentage points (+/-50 bps).</t>
  </si>
  <si>
    <t xml:space="preserve">No revenue FX impact disclosed for this quarter.</t>
  </si>
  <si>
    <t xml:space="preserve">FX impact stated as "approximately 110 basis point favorable".</t>
  </si>
  <si>
    <t xml:space="preserve">What the guidance implies for H2 2026 (Derived arithmetic; range ends paired low-with-low and high-with-high; not a forecast)</t>
  </si>
  <si>
    <t xml:space="preserve">Item</t>
  </si>
  <si>
    <t xml:space="preserve">Midpoint</t>
  </si>
  <si>
    <t xml:space="preserve">ID(s)</t>
  </si>
  <si>
    <t xml:space="preserve">Formula / note</t>
  </si>
  <si>
    <t xml:space="preserve">Q3 2026 revenue guidance</t>
  </si>
  <si>
    <t xml:space="preserve">USD m</t>
  </si>
  <si>
    <t xml:space="preserve">GH-0102 / ER-2026Q2</t>
  </si>
  <si>
    <t xml:space="preserve">Guidance (copied); midpoint = average</t>
  </si>
  <si>
    <t xml:space="preserve">Q3 2025 revenue (actual)</t>
  </si>
  <si>
    <t xml:space="preserve">USD k</t>
  </si>
  <si>
    <t xml:space="preserve">QA-0032 / ER-2025Q3</t>
  </si>
  <si>
    <t xml:space="preserve">Actual (copied)</t>
  </si>
  <si>
    <t xml:space="preserve">Implied Q3 2026 YoY revenue growth</t>
  </si>
  <si>
    <t xml:space="preserve">%</t>
  </si>
  <si>
    <t xml:space="preserve">guidance x 1000 / Q3 2025 revenue - 1 (company text: "16% to 17%")</t>
  </si>
  <si>
    <t xml:space="preserve">FY2026 revenue guidance (Aug 10, 2026 vintage)</t>
  </si>
  <si>
    <t xml:space="preserve">GH-0100 / ER-2026Q2</t>
  </si>
  <si>
    <t xml:space="preserve">FY2025 revenue (actual)</t>
  </si>
  <si>
    <t xml:space="preserve">QA-0035 / ER-2025Q4</t>
  </si>
  <si>
    <t xml:space="preserve">Implied FY2026 YoY revenue growth</t>
  </si>
  <si>
    <t xml:space="preserve">guidance x 1000 / FY2025 revenue - 1 (company text: "19% to 20%")</t>
  </si>
  <si>
    <t xml:space="preserve">H1 2026 revenue (actual, 6M)</t>
  </si>
  <si>
    <t xml:space="preserve">QA-0038 / ER-2026Q2</t>
  </si>
  <si>
    <t xml:space="preserve">H1 2025 revenue (actual, 6M)</t>
  </si>
  <si>
    <t xml:space="preserve">QA-0031 / ER-2025Q2</t>
  </si>
  <si>
    <t xml:space="preserve">H1 2026 YoY revenue growth (actual)</t>
  </si>
  <si>
    <t xml:space="preserve">H1 2026 / H1 2025 - 1</t>
  </si>
  <si>
    <t xml:space="preserve">Implied H2 2026 revenue = FY guide - H1 actual</t>
  </si>
  <si>
    <t xml:space="preserve">FY guidance x 1000 - H1 2026 actual</t>
  </si>
  <si>
    <t xml:space="preserve">H2 2025 revenue (actual) = FY2025 - H1 2025</t>
  </si>
  <si>
    <t xml:space="preserve">FY2025 - 6M 2025</t>
  </si>
  <si>
    <t xml:space="preserve">Implied H2 2026 YoY revenue growth</t>
  </si>
  <si>
    <t xml:space="preserve">implied H2 2026 / H2 2025 - 1</t>
  </si>
  <si>
    <t xml:space="preserve">Implied Q4 2026 revenue = FY guide - H1 actual - Q3 guide</t>
  </si>
  <si>
    <t xml:space="preserve">Paired ends: (FY low - Q3 low), (mid - mid), (FY high - Q3 high). Other pairings give a wider range.</t>
  </si>
  <si>
    <t xml:space="preserve">Q4 2025 revenue (actual)</t>
  </si>
  <si>
    <t xml:space="preserve">QA-0034 / ER-2025Q4</t>
  </si>
  <si>
    <t xml:space="preserve">Implied Q4 2026 YoY revenue growth</t>
  </si>
  <si>
    <t xml:space="preserve">implied Q4 2026 / Q4 2025 - 1</t>
  </si>
  <si>
    <t xml:space="preserve">Implied Q4 2026 vs Q3 2026 guide (sequential change)</t>
  </si>
  <si>
    <t xml:space="preserve">implied Q4 / Q3 guide - 1</t>
  </si>
  <si>
    <t xml:space="preserve">FY2026 non-GAAP operating income guidance (Aug 10, 2026)</t>
  </si>
  <si>
    <t xml:space="preserve">GH-0099 / ER-2026Q2</t>
  </si>
  <si>
    <t xml:space="preserve">H1 2026 non-GAAP operating income (actual, 6M)</t>
  </si>
  <si>
    <t xml:space="preserve">QA-0702 / ER-2026Q2</t>
  </si>
  <si>
    <t xml:space="preserve">Implied H2 2026 non-GAAP operating income</t>
  </si>
  <si>
    <t xml:space="preserve">FY guide x 1000 - H1 actual</t>
  </si>
  <si>
    <t xml:space="preserve">Implied H2 2026 non-GAAP operating margin</t>
  </si>
  <si>
    <t xml:space="preserve">implied H2 op. income / implied H2 revenue (paired ends)</t>
  </si>
  <si>
    <t xml:space="preserve">Q3 2026 non-GAAP operating income guidance</t>
  </si>
  <si>
    <t xml:space="preserve">GH-0101 / ER-2026Q2</t>
  </si>
  <si>
    <t xml:space="preserve">Implied Q4 2026 non-GAAP operating income</t>
  </si>
  <si>
    <t xml:space="preserve">implied H2 - Q3 guide (paired ends)</t>
  </si>
  <si>
    <t xml:space="preserve">Implied Q4 2026 non-GAAP operating margin</t>
  </si>
  <si>
    <t xml:space="preserve">implied Q4 op. income / implied Q4 revenue</t>
  </si>
  <si>
    <t xml:space="preserve">FY2026 adjusted FCF guidance (Aug 10, 2026)</t>
  </si>
  <si>
    <t xml:space="preserve">GH-0098 / ER-2026Q2</t>
  </si>
  <si>
    <t xml:space="preserve">H1 2026 adjusted FCF (actual, 6M)</t>
  </si>
  <si>
    <t xml:space="preserve">QA-1104 / ER-2026Q2</t>
  </si>
  <si>
    <t xml:space="preserve">Implied H2 2026 adjusted FCF</t>
  </si>
  <si>
    <t xml:space="preserve">Implied H2 2026 adjusted FCF margin</t>
  </si>
  <si>
    <t xml:space="preserve">implied H2 FCF / implied H2 revenue</t>
  </si>
  <si>
    <t xml:space="preserve">FY2025 adjusted FCF (actual)</t>
  </si>
  <si>
    <t xml:space="preserve">QA-1101 / ER-2025Q4</t>
  </si>
  <si>
    <t xml:space="preserve">H1 2025 adjusted FCF (actual, 6M)</t>
  </si>
  <si>
    <t xml:space="preserve">QA-1097 / ER-2025Q2</t>
  </si>
  <si>
    <t xml:space="preserve">H2 2025 adjusted FCF (actual) = FY2025 - H1 2025</t>
  </si>
  <si>
    <t xml:space="preserve">H2 2025 adjusted FCF margin (actual)</t>
  </si>
  <si>
    <t xml:space="preserve">H2 2025 adj. FCF / H2 2025 revenue</t>
  </si>
  <si>
    <t xml:space="preserve">How the H2 2026 implied by guidance changed between the May 11 and Aug 10, 2026 vintages (Derived; paired range ends)</t>
  </si>
  <si>
    <t xml:space="preserve">FY2026 revenue guidance (May 11, 2026 vintage)</t>
  </si>
  <si>
    <t xml:space="preserve">GH-0092 / ER-2026Q1</t>
  </si>
  <si>
    <t xml:space="preserve">Q1 2026 revenue (actual)</t>
  </si>
  <si>
    <t xml:space="preserve">QA-0036 / ER-2026Q1</t>
  </si>
  <si>
    <t xml:space="preserve">Q2 2026 revenue guidance (May 11, 2026)</t>
  </si>
  <si>
    <t xml:space="preserve">GH-0094 / ER-2026Q1</t>
  </si>
  <si>
    <t xml:space="preserve">H2 2026 revenue implied at May vintage = FY guide - Q1 actual - Q2 guide</t>
  </si>
  <si>
    <t xml:space="preserve">May FY guide - Q1 actual - Q2 guide (paired ends)</t>
  </si>
  <si>
    <t xml:space="preserve">Change in implied H2 2026 revenue, Aug vs May vintage</t>
  </si>
  <si>
    <t xml:space="preserve">Aug implied H2 - May implied H2</t>
  </si>
  <si>
    <t xml:space="preserve">FY2026 non-GAAP operating income guidance (May 11, 2026 vintage)</t>
  </si>
  <si>
    <t xml:space="preserve">GH-0091 / ER-2026Q1</t>
  </si>
  <si>
    <t xml:space="preserve">Q1 2026 non-GAAP operating income (actual)</t>
  </si>
  <si>
    <t xml:space="preserve">QA-0700 / ER-2026Q1</t>
  </si>
  <si>
    <t xml:space="preserve">Q2 2026 non-GAAP operating income guidance (May 11, 2026)</t>
  </si>
  <si>
    <t xml:space="preserve">GH-0093 / ER-2026Q1</t>
  </si>
  <si>
    <t xml:space="preserve">H2 2026 non-GAAP op. income implied at May vintage</t>
  </si>
  <si>
    <t xml:space="preserve">Change in implied H2 2026 non-GAAP op. income, Aug vs May vintage</t>
  </si>
  <si>
    <t xml:space="preserve">July 22, 2026 interim outlook (restructuring 6-K): FY2026 margins</t>
  </si>
  <si>
    <t xml:space="preserve">FY2026 non-GAAP operating margin, July 22 "Current" (~15%)</t>
  </si>
  <si>
    <t xml:space="preserve">GH-0096 / 6K-20260722-RESTR</t>
  </si>
  <si>
    <t xml:space="preserve">FY2026 non-GAAP operating margin implied by Aug 10 USD guidance</t>
  </si>
  <si>
    <t xml:space="preserve">FY op. income guide / FY revenue guide (company text: "approximately 16%")</t>
  </si>
  <si>
    <t xml:space="preserve">Restructuring: the July 22 plan expects ~$45-55M net charges mostly in H2 2026; the FY2026 non-GAAP outlook excludes them (source book Annual / Definitions). GAAP implications are not modeled here.</t>
  </si>
  <si>
    <t xml:space="preserve">Findings (historical analysis only; no forecast)</t>
  </si>
  <si>
    <t xml:space="preserve">Each finding cites the cells that support it. Numbers quoted in the text are rounded versions of those cells.</t>
  </si>
  <si>
    <t xml:space="preserve">#</t>
  </si>
  <si>
    <t xml:space="preserve">Finding</t>
  </si>
  <si>
    <t xml:space="preserve">Supporting cells</t>
  </si>
  <si>
    <t xml:space="preserve">Revenue guidance has been conservative in every evaluated quarter: actual revenue beat the TOP of the next-quarter range in 20 of 20 quarters (Q3 2021-Q2 2026). The beat versus the midpoint averaged 4.3% over all history but has narrowed to 2.4% on average in the last 8 quarters (range 1.5% to 3.6%; sample std. dev. 0.7%).</t>
  </si>
  <si>
    <t xml:space="preserve">Guidance_Accuracy!C67:M67, C68:M68; detail rows 7-26</t>
  </si>
  <si>
    <t xml:space="preserve">Non-GAAP operating income beat the top of the next-quarter range in all 20 quarters. In the last 8 quarters the beat versus the midpoint averaged 36% (median 35%); the smallest was Q4 2025 at 13%, the quarter the company first quantified an FX headwind on non-GAAP operating margin (-180 bps). Quarterly FCF guidance existed only in 2024: 3 beats above the range and 1 in range.</t>
  </si>
  <si>
    <t xml:space="preserve">Guidance_Accuracy!C69:M70, N49, V49; C71:M71</t>
  </si>
  <si>
    <t xml:space="preserve">Reported year-over-year revenue growth fell from 84.0% in Q1 2022 to 21.9% in Q2 2026. Q2 2026 included an approximately +110 bps FX benefit, so the FX-adjusted rate was about 20.8%. Sequential growth in Q2 2026 was 3.8%, the lowest quarter-on-quarter rate in the series. Revenue FX impact was not disclosed for Q3 2024-Q1 2026.</t>
  </si>
  <si>
    <t xml:space="preserve">Deceleration!F10, F27, H27, K27; Growth_Decomposition!F27</t>
  </si>
  <si>
    <t xml:space="preserve">Guidance implies a further step-down: H1 2026 revenue grew 23.2%, while the Q3 2026 guide implies 16.1%-16.8% and the FY guide implies 15.3%-16.5% for H2 and 14.4%-16.2% for Q4 (paired range ends; arithmetic on guidance, not a forecast).</t>
  </si>
  <si>
    <t xml:space="preserve">Deceleration!C41, B35:D35, B44:D44, B47:D47</t>
  </si>
  <si>
    <t xml:space="preserve">In August the company kept FY2026 revenue guidance unchanged ($1,466-1,474M) after a Q2 beat, which lowered the H2 revenue implied by guidance by about $9.6M versus the May vintage. At the same time it raised FY non-GAAP operating income guidance from $185-191M to $230-234M, lifting implied H2 operating income by about $29.9M. This followed the July 22 restructuring 6-K, which raised the FY non-GAAP margin outlook from ~13% to ~15% and excludes restructuring charges.</t>
  </si>
  <si>
    <t xml:space="preserve">Deceleration!B71:D71, B76:D76, B79:D80; Guidance_Accuracy FY2026 vintage list</t>
  </si>
  <si>
    <t xml:space="preserve">All-customer net dollar retention was 109% in Q2 2026, the lowest exact value since exact disclosure began in Q4 2023 (110%-112% in between); the &gt;$100k cohort was 115% and &gt;10 users 113%. The company attributes part of the 2024-H1 2025 NDR to pricing adjustments that have since anniversaried. NDR before Q4 2023 was disclosed only as floors and is not comparable; the measurement basis (point-in-time vs trailing) is not stated.</t>
  </si>
  <si>
    <t xml:space="preserve">Growth_Decomposition!G17:G27, P27, J27; flags column</t>
  </si>
  <si>
    <t xml:space="preserve">Disclosed customer KPIs show the base shifting toward larger accounts (descriptive, not causal): customers above $100k ARR grew 37% year over year to 2,019 in Q2 2026, and their share of ARR rose from 22% (Q3 2024) to 30%. Customers with more than 10 users grew only 6.4%.</t>
  </si>
  <si>
    <t xml:space="preserve">Growth_Decomposition!AA27, AD27, AO20:AO27, V27</t>
  </si>
  <si>
    <t xml:space="preserve">The non-GAAP operating margin reached 16.8% in Q2 2026, the highest in the series, as non-GAAP S&amp;M fell to 41.0% of revenue (FY2024: 51.4%). Most of that S&amp;M decline is NOT comparable: commissions fell from ~5% to ~2% of revenue in 2025 when the commission model changed and more cost was capitalized. Meanwhile non-GAAP R&amp;D rose to 22.8% of revenue (FY2024: 16.7%) and non-GAAP gross margin was 88.9%, its lowest since 2022.</t>
  </si>
  <si>
    <t xml:space="preserve">Margin_Structure!AU27, AQ27, AQ31, AO27, AO31, AM27; commission block D53:D55</t>
  </si>
  <si>
    <t xml:space="preserve">Cash conversion is seasonal and has weakened: over 2023-2025 the adjusted FCF margin averaged 34.7% in Q1 against 23.0% in Q2. Q2 2026 came in at 14.4%, with FCF at 0.86x non-GAAP operating income, the lowest ratio in any positive-income quarter. FY guidance implies an H2 2026 adjusted FCF margin of about 17.2%, against 22.9% actual in H2 2025.</t>
  </si>
  <si>
    <t xml:space="preserve">Cash_Conversion!C39:F39, Q27, R27; Deceleration!B60:D60, C64</t>
  </si>
  <si>
    <t xml:space="preserve">Cash and cash equivalents fell from $1,503M to $853M in H1 2026. Share repurchases of $735M (which used up the $870M authorization) far exceeded operating cash flow of $160M; other items not itemized in the source book were a net outflow of $67M. Including marketable securities, liquidity fell $593M.</t>
  </si>
  <si>
    <t xml:space="preserve">Cash_Conversion!B48:H54, H60</t>
  </si>
  <si>
    <t xml:space="preserve">Open questions for the Q3 2026 forecast design</t>
  </si>
  <si>
    <t xml:space="preserve">Guidance conservatism: should the Q3 2026 design anchor on the guidance midpoint, the top of the range, or a historical beat distribution? Revenue beats have narrowed (last 8 quarters avg ~2.4% vs midpoint) and the non-GAAP operating income beat pattern is large but volatile.</t>
  </si>
  <si>
    <t xml:space="preserve">FX: revenue guidance carries no stated FX assumption, while operating income guidance assumes a 100-200 bps negative FX impact; Q2 2026 revenue had a ~110 bps FX tailwind. How should FX be treated, given that no revenue FX impact was disclosed for Q3 2024-Q1 2026?</t>
  </si>
  <si>
    <t xml:space="preserve">Restructuring (July 22, 2026; ~20% of the workforce; ~$45-55M net charges mostly in H2 2026; severance cash timing not disclosed): how should the opex run-rate, the GAAP charges, the ~$15M SBC credit and the cash payments be phased into Q3 without assuming undisclosed details?</t>
  </si>
  <si>
    <t xml:space="preserve">S&amp;M comparability: with commission capitalization since 2025, should S&amp;M be modeled on the post-change basis only (2025 onward)? Any cross-period comparison would need a labeled adjustment.</t>
  </si>
  <si>
    <t xml:space="preserve">Revenue drivers: total ARR, new ARR, churn and seat or pricing data are not disclosed. Which disclosed series (customer cohorts, NDR, RPO/cRPO) can serve as cross-checks, given the floor-only NDR before Q4 2023, the unstated NDR basis and the June 2025 RPO recast?</t>
  </si>
  <si>
    <t xml:space="preserve">AI pricing: AI products were 17% of net new ARR in Q2 2026, and seats-plus-credits pricing launched in Q1 2026, but there is no base or revenue split. Should AI monetization be an explicit (Assumed) driver or left inside the revenue trend?</t>
  </si>
  <si>
    <t xml:space="preserve">Gross margin: the company expects AI compute costs to reduce gross margin modestly over the medium term. Should Q3 gross margin follow the recent trend (88.9% non-GAAP in Q2 2026) or a stated assumption?</t>
  </si>
  <si>
    <t xml:space="preserve">Cash: the buyback authorization is fully used and no new program has been disclosed. How should financial income (lower cash balance) and FCF seasonality (Q3 has historically been strong) be handled for Q3?</t>
  </si>
  <si>
    <t xml:space="preserve">Implied H2: the FY guidance implies Q4 revenue growth of ~14-16% and a Q4 non-GAAP margin of ~16.5%. Should the Q3 call be reconciled to the FY guide, or treated independently?</t>
  </si>
  <si>
    <t xml:space="preserve">Checks: every copied input tied back to the source book by Row ID, plus internal arithmetic checks</t>
  </si>
  <si>
    <t xml:space="preserve">Tie-back: "Source-book value" is re-read by Row ID (independent lookup) from monday_sourcebook.xlsx at build time; Difference = analysis cell - source-book value.</t>
  </si>
  <si>
    <t xml:space="preserve">Summary by input family</t>
  </si>
  <si>
    <t xml:space="preserve">Family</t>
  </si>
  <si>
    <t xml:space="preserve">PASS</t>
  </si>
  <si>
    <t xml:space="preserve">FAIL</t>
  </si>
  <si>
    <t xml:space="preserve">Guidance_Accuracy: guidance inputs</t>
  </si>
  <si>
    <t xml:space="preserve">Guidance_Accuracy: financial inputs</t>
  </si>
  <si>
    <t xml:space="preserve">Guidance_Accuracy: FX inputs</t>
  </si>
  <si>
    <t xml:space="preserve">Growth_Decomposition: financial inputs</t>
  </si>
  <si>
    <t xml:space="preserve">Growth_Decomposition: KPI inputs</t>
  </si>
  <si>
    <t xml:space="preserve">Margin_Structure: financial inputs</t>
  </si>
  <si>
    <t xml:space="preserve">Margin_Structure: commission inputs</t>
  </si>
  <si>
    <t xml:space="preserve">Cash_Conversion: financial inputs</t>
  </si>
  <si>
    <t xml:space="preserve">Cash_Conversion: cash bridge inputs</t>
  </si>
  <si>
    <t xml:space="preserve">Deceleration: financial inputs</t>
  </si>
  <si>
    <t xml:space="preserve">Deceleration: FX inputs</t>
  </si>
  <si>
    <t xml:space="preserve">Internal: guidance arithmetic</t>
  </si>
  <si>
    <t xml:space="preserve">Internal: cash bridge tie-outs</t>
  </si>
  <si>
    <t xml:space="preserve">Internal: H1 additivity</t>
  </si>
  <si>
    <t xml:space="preserve">TOTAL</t>
  </si>
  <si>
    <t xml:space="preserve">Check ID</t>
  </si>
  <si>
    <t xml:space="preserve">Analysis cell</t>
  </si>
  <si>
    <t xml:space="preserve">Source-book sheet</t>
  </si>
  <si>
    <t xml:space="preserve">Analysis value</t>
  </si>
  <si>
    <t xml:space="preserve">Source-book value (re-read by Row ID)</t>
  </si>
  <si>
    <t xml:space="preserve">Difference</t>
  </si>
  <si>
    <t xml:space="preserve">Status</t>
  </si>
  <si>
    <t xml:space="preserve">Context</t>
  </si>
  <si>
    <t xml:space="preserve">P1-0001</t>
  </si>
  <si>
    <t xml:space="preserve">Guidance_Accuracy!D7</t>
  </si>
  <si>
    <t xml:space="preserve">Guidance_History</t>
  </si>
  <si>
    <t xml:space="preserve">Guidance issued date</t>
  </si>
  <si>
    <t xml:space="preserve">P1-0002</t>
  </si>
  <si>
    <t xml:space="preserve">Guidance_Accuracy!E7</t>
  </si>
  <si>
    <t xml:space="preserve">P1-0003</t>
  </si>
  <si>
    <t xml:space="preserve">Guidance_Accuracy!F7</t>
  </si>
  <si>
    <t xml:space="preserve">Guidance low</t>
  </si>
  <si>
    <t xml:space="preserve">P1-0004</t>
  </si>
  <si>
    <t xml:space="preserve">Guidance_Accuracy!G7</t>
  </si>
  <si>
    <t xml:space="preserve">Guidance high</t>
  </si>
  <si>
    <t xml:space="preserve">P1-0005</t>
  </si>
  <si>
    <t xml:space="preserve">Guidance_Accuracy!I7</t>
  </si>
  <si>
    <t xml:space="preserve">Quarterly_Actuals</t>
  </si>
  <si>
    <t xml:space="preserve">Actual Revenue Q3 2021</t>
  </si>
  <si>
    <t xml:space="preserve">P1-0006</t>
  </si>
  <si>
    <t xml:space="preserve">Guidance_Accuracy!D8</t>
  </si>
  <si>
    <t xml:space="preserve">P1-0007</t>
  </si>
  <si>
    <t xml:space="preserve">Guidance_Accuracy!E8</t>
  </si>
  <si>
    <t xml:space="preserve">P1-0008</t>
  </si>
  <si>
    <t xml:space="preserve">Guidance_Accuracy!F8</t>
  </si>
  <si>
    <t xml:space="preserve">P1-0009</t>
  </si>
  <si>
    <t xml:space="preserve">Guidance_Accuracy!G8</t>
  </si>
  <si>
    <t xml:space="preserve">P1-0010</t>
  </si>
  <si>
    <t xml:space="preserve">Guidance_Accuracy!I8</t>
  </si>
  <si>
    <t xml:space="preserve">Actual Revenue Q4 2021</t>
  </si>
  <si>
    <t xml:space="preserve">P1-0011</t>
  </si>
  <si>
    <t xml:space="preserve">Guidance_Accuracy!D9</t>
  </si>
  <si>
    <t xml:space="preserve">P1-0012</t>
  </si>
  <si>
    <t xml:space="preserve">Guidance_Accuracy!E9</t>
  </si>
  <si>
    <t xml:space="preserve">P1-0013</t>
  </si>
  <si>
    <t xml:space="preserve">Guidance_Accuracy!F9</t>
  </si>
  <si>
    <t xml:space="preserve">P1-0014</t>
  </si>
  <si>
    <t xml:space="preserve">Guidance_Accuracy!G9</t>
  </si>
  <si>
    <t xml:space="preserve">P1-0015</t>
  </si>
  <si>
    <t xml:space="preserve">Guidance_Accuracy!I9</t>
  </si>
  <si>
    <t xml:space="preserve">Actual Revenue Q1 2022</t>
  </si>
  <si>
    <t xml:space="preserve">P1-0016</t>
  </si>
  <si>
    <t xml:space="preserve">Guidance_Accuracy!S9</t>
  </si>
  <si>
    <t xml:space="preserve">FX revenue Q1 2022</t>
  </si>
  <si>
    <t xml:space="preserve">P1-0017</t>
  </si>
  <si>
    <t xml:space="preserve">Guidance_Accuracy!D10</t>
  </si>
  <si>
    <t xml:space="preserve">P1-0018</t>
  </si>
  <si>
    <t xml:space="preserve">Guidance_Accuracy!E10</t>
  </si>
  <si>
    <t xml:space="preserve">P1-0019</t>
  </si>
  <si>
    <t xml:space="preserve">Guidance_Accuracy!F10</t>
  </si>
  <si>
    <t xml:space="preserve">P1-0020</t>
  </si>
  <si>
    <t xml:space="preserve">Guidance_Accuracy!G10</t>
  </si>
  <si>
    <t xml:space="preserve">P1-0021</t>
  </si>
  <si>
    <t xml:space="preserve">Guidance_Accuracy!I10</t>
  </si>
  <si>
    <t xml:space="preserve">Actual Revenue Q2 2022</t>
  </si>
  <si>
    <t xml:space="preserve">P1-0022</t>
  </si>
  <si>
    <t xml:space="preserve">Guidance_Accuracy!S10</t>
  </si>
  <si>
    <t xml:space="preserve">FX revenue Q2 2022</t>
  </si>
  <si>
    <t xml:space="preserve">P1-0023</t>
  </si>
  <si>
    <t xml:space="preserve">Guidance_Accuracy!D11</t>
  </si>
  <si>
    <t xml:space="preserve">P1-0024</t>
  </si>
  <si>
    <t xml:space="preserve">Guidance_Accuracy!E11</t>
  </si>
  <si>
    <t xml:space="preserve">P1-0025</t>
  </si>
  <si>
    <t xml:space="preserve">Guidance_Accuracy!F11</t>
  </si>
  <si>
    <t xml:space="preserve">P1-0026</t>
  </si>
  <si>
    <t xml:space="preserve">Guidance_Accuracy!G11</t>
  </si>
  <si>
    <t xml:space="preserve">P1-0027</t>
  </si>
  <si>
    <t xml:space="preserve">Guidance_Accuracy!I11</t>
  </si>
  <si>
    <t xml:space="preserve">Actual Revenue Q3 2022</t>
  </si>
  <si>
    <t xml:space="preserve">P1-0028</t>
  </si>
  <si>
    <t xml:space="preserve">Guidance_Accuracy!S11</t>
  </si>
  <si>
    <t xml:space="preserve">FX revenue Q3 2022</t>
  </si>
  <si>
    <t xml:space="preserve">P1-0029</t>
  </si>
  <si>
    <t xml:space="preserve">Guidance_Accuracy!D12</t>
  </si>
  <si>
    <t xml:space="preserve">P1-0030</t>
  </si>
  <si>
    <t xml:space="preserve">Guidance_Accuracy!E12</t>
  </si>
  <si>
    <t xml:space="preserve">P1-0031</t>
  </si>
  <si>
    <t xml:space="preserve">Guidance_Accuracy!F12</t>
  </si>
  <si>
    <t xml:space="preserve">P1-0032</t>
  </si>
  <si>
    <t xml:space="preserve">Guidance_Accuracy!G12</t>
  </si>
  <si>
    <t xml:space="preserve">P1-0033</t>
  </si>
  <si>
    <t xml:space="preserve">Guidance_Accuracy!I12</t>
  </si>
  <si>
    <t xml:space="preserve">Actual Revenue Q4 2022</t>
  </si>
  <si>
    <t xml:space="preserve">P1-0034</t>
  </si>
  <si>
    <t xml:space="preserve">Guidance_Accuracy!S12</t>
  </si>
  <si>
    <t xml:space="preserve">FX revenue Q4 2022</t>
  </si>
  <si>
    <t xml:space="preserve">P1-0035</t>
  </si>
  <si>
    <t xml:space="preserve">Guidance_Accuracy!D13</t>
  </si>
  <si>
    <t xml:space="preserve">P1-0036</t>
  </si>
  <si>
    <t xml:space="preserve">Guidance_Accuracy!E13</t>
  </si>
  <si>
    <t xml:space="preserve">P1-0037</t>
  </si>
  <si>
    <t xml:space="preserve">Guidance_Accuracy!F13</t>
  </si>
  <si>
    <t xml:space="preserve">P1-0038</t>
  </si>
  <si>
    <t xml:space="preserve">Guidance_Accuracy!G13</t>
  </si>
  <si>
    <t xml:space="preserve">P1-0039</t>
  </si>
  <si>
    <t xml:space="preserve">Guidance_Accuracy!I13</t>
  </si>
  <si>
    <t xml:space="preserve">Actual Revenue Q1 2023</t>
  </si>
  <si>
    <t xml:space="preserve">P1-0040</t>
  </si>
  <si>
    <t xml:space="preserve">Guidance_Accuracy!S13</t>
  </si>
  <si>
    <t xml:space="preserve">FX revenue Q1 2023</t>
  </si>
  <si>
    <t xml:space="preserve">P1-0041</t>
  </si>
  <si>
    <t xml:space="preserve">Guidance_Accuracy!D14</t>
  </si>
  <si>
    <t xml:space="preserve">P1-0042</t>
  </si>
  <si>
    <t xml:space="preserve">Guidance_Accuracy!E14</t>
  </si>
  <si>
    <t xml:space="preserve">P1-0043</t>
  </si>
  <si>
    <t xml:space="preserve">Guidance_Accuracy!F14</t>
  </si>
  <si>
    <t xml:space="preserve">P1-0044</t>
  </si>
  <si>
    <t xml:space="preserve">Guidance_Accuracy!G14</t>
  </si>
  <si>
    <t xml:space="preserve">P1-0045</t>
  </si>
  <si>
    <t xml:space="preserve">Guidance_Accuracy!I14</t>
  </si>
  <si>
    <t xml:space="preserve">Actual Revenue Q2 2023</t>
  </si>
  <si>
    <t xml:space="preserve">P1-0046</t>
  </si>
  <si>
    <t xml:space="preserve">Guidance_Accuracy!S14</t>
  </si>
  <si>
    <t xml:space="preserve">FX revenue Q2 2023</t>
  </si>
  <si>
    <t xml:space="preserve">P1-0047</t>
  </si>
  <si>
    <t xml:space="preserve">Guidance_Accuracy!D15</t>
  </si>
  <si>
    <t xml:space="preserve">P1-0048</t>
  </si>
  <si>
    <t xml:space="preserve">Guidance_Accuracy!E15</t>
  </si>
  <si>
    <t xml:space="preserve">P1-0049</t>
  </si>
  <si>
    <t xml:space="preserve">Guidance_Accuracy!F15</t>
  </si>
  <si>
    <t xml:space="preserve">P1-0050</t>
  </si>
  <si>
    <t xml:space="preserve">Guidance_Accuracy!G15</t>
  </si>
  <si>
    <t xml:space="preserve">P1-0051</t>
  </si>
  <si>
    <t xml:space="preserve">Guidance_Accuracy!I15</t>
  </si>
  <si>
    <t xml:space="preserve">Actual Revenue Q3 2023</t>
  </si>
  <si>
    <t xml:space="preserve">P1-0052</t>
  </si>
  <si>
    <t xml:space="preserve">Guidance_Accuracy!S15</t>
  </si>
  <si>
    <t xml:space="preserve">FX revenue Q3 2023</t>
  </si>
  <si>
    <t xml:space="preserve">P1-0053</t>
  </si>
  <si>
    <t xml:space="preserve">Guidance_Accuracy!D16</t>
  </si>
  <si>
    <t xml:space="preserve">P1-0054</t>
  </si>
  <si>
    <t xml:space="preserve">Guidance_Accuracy!E16</t>
  </si>
  <si>
    <t xml:space="preserve">P1-0055</t>
  </si>
  <si>
    <t xml:space="preserve">Guidance_Accuracy!F16</t>
  </si>
  <si>
    <t xml:space="preserve">P1-0056</t>
  </si>
  <si>
    <t xml:space="preserve">Guidance_Accuracy!G16</t>
  </si>
  <si>
    <t xml:space="preserve">P1-0057</t>
  </si>
  <si>
    <t xml:space="preserve">Guidance_Accuracy!I16</t>
  </si>
  <si>
    <t xml:space="preserve">Actual Revenue Q4 2023</t>
  </si>
  <si>
    <t xml:space="preserve">P1-0058</t>
  </si>
  <si>
    <t xml:space="preserve">Guidance_Accuracy!S16</t>
  </si>
  <si>
    <t xml:space="preserve">FX revenue Q4 2023</t>
  </si>
  <si>
    <t xml:space="preserve">P1-0059</t>
  </si>
  <si>
    <t xml:space="preserve">Guidance_Accuracy!D17</t>
  </si>
  <si>
    <t xml:space="preserve">P1-0060</t>
  </si>
  <si>
    <t xml:space="preserve">Guidance_Accuracy!E17</t>
  </si>
  <si>
    <t xml:space="preserve">P1-0061</t>
  </si>
  <si>
    <t xml:space="preserve">Guidance_Accuracy!F17</t>
  </si>
  <si>
    <t xml:space="preserve">P1-0062</t>
  </si>
  <si>
    <t xml:space="preserve">Guidance_Accuracy!G17</t>
  </si>
  <si>
    <t xml:space="preserve">P1-0063</t>
  </si>
  <si>
    <t xml:space="preserve">Guidance_Accuracy!I17</t>
  </si>
  <si>
    <t xml:space="preserve">Actual Revenue Q1 2024</t>
  </si>
  <si>
    <t xml:space="preserve">P1-0064</t>
  </si>
  <si>
    <t xml:space="preserve">Guidance_Accuracy!S17</t>
  </si>
  <si>
    <t xml:space="preserve">FX revenue Q1 2024</t>
  </si>
  <si>
    <t xml:space="preserve">P1-0065</t>
  </si>
  <si>
    <t xml:space="preserve">Guidance_Accuracy!D18</t>
  </si>
  <si>
    <t xml:space="preserve">P1-0066</t>
  </si>
  <si>
    <t xml:space="preserve">Guidance_Accuracy!E18</t>
  </si>
  <si>
    <t xml:space="preserve">P1-0067</t>
  </si>
  <si>
    <t xml:space="preserve">Guidance_Accuracy!F18</t>
  </si>
  <si>
    <t xml:space="preserve">P1-0068</t>
  </si>
  <si>
    <t xml:space="preserve">Guidance_Accuracy!G18</t>
  </si>
  <si>
    <t xml:space="preserve">P1-0069</t>
  </si>
  <si>
    <t xml:space="preserve">Guidance_Accuracy!I18</t>
  </si>
  <si>
    <t xml:space="preserve">Actual Revenue Q2 2024</t>
  </si>
  <si>
    <t xml:space="preserve">P1-0070</t>
  </si>
  <si>
    <t xml:space="preserve">Guidance_Accuracy!S18</t>
  </si>
  <si>
    <t xml:space="preserve">FX revenue Q2 2024</t>
  </si>
  <si>
    <t xml:space="preserve">P1-0071</t>
  </si>
  <si>
    <t xml:space="preserve">Guidance_Accuracy!D19</t>
  </si>
  <si>
    <t xml:space="preserve">P1-0072</t>
  </si>
  <si>
    <t xml:space="preserve">Guidance_Accuracy!E19</t>
  </si>
  <si>
    <t xml:space="preserve">P1-0073</t>
  </si>
  <si>
    <t xml:space="preserve">Guidance_Accuracy!F19</t>
  </si>
  <si>
    <t xml:space="preserve">P1-0074</t>
  </si>
  <si>
    <t xml:space="preserve">Guidance_Accuracy!G19</t>
  </si>
  <si>
    <t xml:space="preserve">P1-0075</t>
  </si>
  <si>
    <t xml:space="preserve">Guidance_Accuracy!I19</t>
  </si>
  <si>
    <t xml:space="preserve">Actual Revenue Q3 2024</t>
  </si>
  <si>
    <t xml:space="preserve">P1-0076</t>
  </si>
  <si>
    <t xml:space="preserve">Guidance_Accuracy!D20</t>
  </si>
  <si>
    <t xml:space="preserve">P1-0077</t>
  </si>
  <si>
    <t xml:space="preserve">Guidance_Accuracy!E20</t>
  </si>
  <si>
    <t xml:space="preserve">P1-0078</t>
  </si>
  <si>
    <t xml:space="preserve">Guidance_Accuracy!F20</t>
  </si>
  <si>
    <t xml:space="preserve">P1-0079</t>
  </si>
  <si>
    <t xml:space="preserve">Guidance_Accuracy!G20</t>
  </si>
  <si>
    <t xml:space="preserve">P1-0080</t>
  </si>
  <si>
    <t xml:space="preserve">Guidance_Accuracy!I20</t>
  </si>
  <si>
    <t xml:space="preserve">Actual Revenue Q4 2024</t>
  </si>
  <si>
    <t xml:space="preserve">P1-0081</t>
  </si>
  <si>
    <t xml:space="preserve">Guidance_Accuracy!D21</t>
  </si>
  <si>
    <t xml:space="preserve">P1-0082</t>
  </si>
  <si>
    <t xml:space="preserve">Guidance_Accuracy!E21</t>
  </si>
  <si>
    <t xml:space="preserve">P1-0083</t>
  </si>
  <si>
    <t xml:space="preserve">Guidance_Accuracy!F21</t>
  </si>
  <si>
    <t xml:space="preserve">P1-0084</t>
  </si>
  <si>
    <t xml:space="preserve">Guidance_Accuracy!G21</t>
  </si>
  <si>
    <t xml:space="preserve">P1-0085</t>
  </si>
  <si>
    <t xml:space="preserve">Guidance_Accuracy!I21</t>
  </si>
  <si>
    <t xml:space="preserve">Actual Revenue Q1 2025</t>
  </si>
  <si>
    <t xml:space="preserve">P1-0086</t>
  </si>
  <si>
    <t xml:space="preserve">Guidance_Accuracy!D22</t>
  </si>
  <si>
    <t xml:space="preserve">P1-0087</t>
  </si>
  <si>
    <t xml:space="preserve">Guidance_Accuracy!E22</t>
  </si>
  <si>
    <t xml:space="preserve">P1-0088</t>
  </si>
  <si>
    <t xml:space="preserve">Guidance_Accuracy!F22</t>
  </si>
  <si>
    <t xml:space="preserve">P1-0089</t>
  </si>
  <si>
    <t xml:space="preserve">Guidance_Accuracy!G22</t>
  </si>
  <si>
    <t xml:space="preserve">P1-0090</t>
  </si>
  <si>
    <t xml:space="preserve">Guidance_Accuracy!I22</t>
  </si>
  <si>
    <t xml:space="preserve">Actual Revenue Q2 2025</t>
  </si>
  <si>
    <t xml:space="preserve">P1-0091</t>
  </si>
  <si>
    <t xml:space="preserve">Guidance_Accuracy!D23</t>
  </si>
  <si>
    <t xml:space="preserve">P1-0092</t>
  </si>
  <si>
    <t xml:space="preserve">Guidance_Accuracy!E23</t>
  </si>
  <si>
    <t xml:space="preserve">P1-0093</t>
  </si>
  <si>
    <t xml:space="preserve">Guidance_Accuracy!F23</t>
  </si>
  <si>
    <t xml:space="preserve">P1-0094</t>
  </si>
  <si>
    <t xml:space="preserve">Guidance_Accuracy!G23</t>
  </si>
  <si>
    <t xml:space="preserve">P1-0095</t>
  </si>
  <si>
    <t xml:space="preserve">Guidance_Accuracy!I23</t>
  </si>
  <si>
    <t xml:space="preserve">Actual Revenue Q3 2025</t>
  </si>
  <si>
    <t xml:space="preserve">P1-0096</t>
  </si>
  <si>
    <t xml:space="preserve">Guidance_Accuracy!D24</t>
  </si>
  <si>
    <t xml:space="preserve">P1-0097</t>
  </si>
  <si>
    <t xml:space="preserve">Guidance_Accuracy!E24</t>
  </si>
  <si>
    <t xml:space="preserve">P1-0098</t>
  </si>
  <si>
    <t xml:space="preserve">Guidance_Accuracy!F24</t>
  </si>
  <si>
    <t xml:space="preserve">P1-0099</t>
  </si>
  <si>
    <t xml:space="preserve">Guidance_Accuracy!G24</t>
  </si>
  <si>
    <t xml:space="preserve">P1-0100</t>
  </si>
  <si>
    <t xml:space="preserve">Guidance_Accuracy!I24</t>
  </si>
  <si>
    <t xml:space="preserve">Actual Revenue Q4 2025</t>
  </si>
  <si>
    <t xml:space="preserve">P1-0101</t>
  </si>
  <si>
    <t xml:space="preserve">Guidance_Accuracy!V24</t>
  </si>
  <si>
    <t xml:space="preserve">FX margin Q4 2025</t>
  </si>
  <si>
    <t xml:space="preserve">P1-0102</t>
  </si>
  <si>
    <t xml:space="preserve">Guidance_Accuracy!D25</t>
  </si>
  <si>
    <t xml:space="preserve">P1-0103</t>
  </si>
  <si>
    <t xml:space="preserve">Guidance_Accuracy!E25</t>
  </si>
  <si>
    <t xml:space="preserve">P1-0104</t>
  </si>
  <si>
    <t xml:space="preserve">Guidance_Accuracy!F25</t>
  </si>
  <si>
    <t xml:space="preserve">P1-0105</t>
  </si>
  <si>
    <t xml:space="preserve">Guidance_Accuracy!G25</t>
  </si>
  <si>
    <t xml:space="preserve">P1-0106</t>
  </si>
  <si>
    <t xml:space="preserve">Guidance_Accuracy!I25</t>
  </si>
  <si>
    <t xml:space="preserve">Actual Revenue Q1 2026</t>
  </si>
  <si>
    <t xml:space="preserve">P1-0107</t>
  </si>
  <si>
    <t xml:space="preserve">Guidance_Accuracy!V25</t>
  </si>
  <si>
    <t xml:space="preserve">FX margin Q1 2026</t>
  </si>
  <si>
    <t xml:space="preserve">P1-0108</t>
  </si>
  <si>
    <t xml:space="preserve">Guidance_Accuracy!D26</t>
  </si>
  <si>
    <t xml:space="preserve">P1-0109</t>
  </si>
  <si>
    <t xml:space="preserve">Guidance_Accuracy!E26</t>
  </si>
  <si>
    <t xml:space="preserve">P1-0110</t>
  </si>
  <si>
    <t xml:space="preserve">Guidance_Accuracy!F26</t>
  </si>
  <si>
    <t xml:space="preserve">P1-0111</t>
  </si>
  <si>
    <t xml:space="preserve">Guidance_Accuracy!G26</t>
  </si>
  <si>
    <t xml:space="preserve">P1-0112</t>
  </si>
  <si>
    <t xml:space="preserve">Guidance_Accuracy!I26</t>
  </si>
  <si>
    <t xml:space="preserve">Actual Revenue Q2 2026</t>
  </si>
  <si>
    <t xml:space="preserve">P1-0113</t>
  </si>
  <si>
    <t xml:space="preserve">Guidance_Accuracy!S26</t>
  </si>
  <si>
    <t xml:space="preserve">FX revenue Q2 2026</t>
  </si>
  <si>
    <t xml:space="preserve">P1-0114</t>
  </si>
  <si>
    <t xml:space="preserve">Guidance_Accuracy!V26</t>
  </si>
  <si>
    <t xml:space="preserve">FX margin Q2 2026</t>
  </si>
  <si>
    <t xml:space="preserve">P1-0115</t>
  </si>
  <si>
    <t xml:space="preserve">Guidance_Accuracy!D32</t>
  </si>
  <si>
    <t xml:space="preserve">P1-0116</t>
  </si>
  <si>
    <t xml:space="preserve">Guidance_Accuracy!E32</t>
  </si>
  <si>
    <t xml:space="preserve">P1-0117</t>
  </si>
  <si>
    <t xml:space="preserve">Guidance_Accuracy!F32</t>
  </si>
  <si>
    <t xml:space="preserve">P1-0118</t>
  </si>
  <si>
    <t xml:space="preserve">Guidance_Accuracy!G32</t>
  </si>
  <si>
    <t xml:space="preserve">P1-0119</t>
  </si>
  <si>
    <t xml:space="preserve">Guidance_Accuracy!I32</t>
  </si>
  <si>
    <t xml:space="preserve">Actual Non-GAAP operating income Q3 2021</t>
  </si>
  <si>
    <t xml:space="preserve">P1-0120</t>
  </si>
  <si>
    <t xml:space="preserve">Guidance_Accuracy!D33</t>
  </si>
  <si>
    <t xml:space="preserve">P1-0121</t>
  </si>
  <si>
    <t xml:space="preserve">Guidance_Accuracy!E33</t>
  </si>
  <si>
    <t xml:space="preserve">P1-0122</t>
  </si>
  <si>
    <t xml:space="preserve">Guidance_Accuracy!F33</t>
  </si>
  <si>
    <t xml:space="preserve">P1-0123</t>
  </si>
  <si>
    <t xml:space="preserve">Guidance_Accuracy!G33</t>
  </si>
  <si>
    <t xml:space="preserve">P1-0124</t>
  </si>
  <si>
    <t xml:space="preserve">Guidance_Accuracy!I33</t>
  </si>
  <si>
    <t xml:space="preserve">Actual Non-GAAP operating income Q4 2021</t>
  </si>
  <si>
    <t xml:space="preserve">P1-0125</t>
  </si>
  <si>
    <t xml:space="preserve">Guidance_Accuracy!D34</t>
  </si>
  <si>
    <t xml:space="preserve">P1-0126</t>
  </si>
  <si>
    <t xml:space="preserve">Guidance_Accuracy!E34</t>
  </si>
  <si>
    <t xml:space="preserve">P1-0127</t>
  </si>
  <si>
    <t xml:space="preserve">Guidance_Accuracy!F34</t>
  </si>
  <si>
    <t xml:space="preserve">P1-0128</t>
  </si>
  <si>
    <t xml:space="preserve">Guidance_Accuracy!G34</t>
  </si>
  <si>
    <t xml:space="preserve">P1-0129</t>
  </si>
  <si>
    <t xml:space="preserve">Guidance_Accuracy!I34</t>
  </si>
  <si>
    <t xml:space="preserve">Actual Non-GAAP operating income Q1 2022</t>
  </si>
  <si>
    <t xml:space="preserve">P1-0130</t>
  </si>
  <si>
    <t xml:space="preserve">Guidance_Accuracy!S34</t>
  </si>
  <si>
    <t xml:space="preserve">P1-0131</t>
  </si>
  <si>
    <t xml:space="preserve">Guidance_Accuracy!D35</t>
  </si>
  <si>
    <t xml:space="preserve">P1-0132</t>
  </si>
  <si>
    <t xml:space="preserve">Guidance_Accuracy!E35</t>
  </si>
  <si>
    <t xml:space="preserve">P1-0133</t>
  </si>
  <si>
    <t xml:space="preserve">Guidance_Accuracy!F35</t>
  </si>
  <si>
    <t xml:space="preserve">P1-0134</t>
  </si>
  <si>
    <t xml:space="preserve">Guidance_Accuracy!G35</t>
  </si>
  <si>
    <t xml:space="preserve">P1-0135</t>
  </si>
  <si>
    <t xml:space="preserve">Guidance_Accuracy!I35</t>
  </si>
  <si>
    <t xml:space="preserve">Actual Non-GAAP operating income Q2 2022</t>
  </si>
  <si>
    <t xml:space="preserve">P1-0136</t>
  </si>
  <si>
    <t xml:space="preserve">Guidance_Accuracy!S35</t>
  </si>
  <si>
    <t xml:space="preserve">P1-0137</t>
  </si>
  <si>
    <t xml:space="preserve">Guidance_Accuracy!D36</t>
  </si>
  <si>
    <t xml:space="preserve">P1-0138</t>
  </si>
  <si>
    <t xml:space="preserve">Guidance_Accuracy!E36</t>
  </si>
  <si>
    <t xml:space="preserve">P1-0139</t>
  </si>
  <si>
    <t xml:space="preserve">Guidance_Accuracy!F36</t>
  </si>
  <si>
    <t xml:space="preserve">P1-0140</t>
  </si>
  <si>
    <t xml:space="preserve">Guidance_Accuracy!G36</t>
  </si>
  <si>
    <t xml:space="preserve">P1-0141</t>
  </si>
  <si>
    <t xml:space="preserve">Guidance_Accuracy!I36</t>
  </si>
  <si>
    <t xml:space="preserve">Actual Non-GAAP operating income Q3 2022</t>
  </si>
  <si>
    <t xml:space="preserve">P1-0142</t>
  </si>
  <si>
    <t xml:space="preserve">Guidance_Accuracy!S36</t>
  </si>
  <si>
    <t xml:space="preserve">P1-0143</t>
  </si>
  <si>
    <t xml:space="preserve">Guidance_Accuracy!D37</t>
  </si>
  <si>
    <t xml:space="preserve">P1-0144</t>
  </si>
  <si>
    <t xml:space="preserve">Guidance_Accuracy!E37</t>
  </si>
  <si>
    <t xml:space="preserve">P1-0145</t>
  </si>
  <si>
    <t xml:space="preserve">Guidance_Accuracy!F37</t>
  </si>
  <si>
    <t xml:space="preserve">P1-0146</t>
  </si>
  <si>
    <t xml:space="preserve">Guidance_Accuracy!G37</t>
  </si>
  <si>
    <t xml:space="preserve">P1-0147</t>
  </si>
  <si>
    <t xml:space="preserve">Guidance_Accuracy!I37</t>
  </si>
  <si>
    <t xml:space="preserve">Actual Non-GAAP operating income Q4 2022</t>
  </si>
  <si>
    <t xml:space="preserve">P1-0148</t>
  </si>
  <si>
    <t xml:space="preserve">Guidance_Accuracy!S37</t>
  </si>
  <si>
    <t xml:space="preserve">P1-0149</t>
  </si>
  <si>
    <t xml:space="preserve">Guidance_Accuracy!D38</t>
  </si>
  <si>
    <t xml:space="preserve">P1-0150</t>
  </si>
  <si>
    <t xml:space="preserve">Guidance_Accuracy!E38</t>
  </si>
  <si>
    <t xml:space="preserve">P1-0151</t>
  </si>
  <si>
    <t xml:space="preserve">Guidance_Accuracy!F38</t>
  </si>
  <si>
    <t xml:space="preserve">P1-0152</t>
  </si>
  <si>
    <t xml:space="preserve">Guidance_Accuracy!G38</t>
  </si>
  <si>
    <t xml:space="preserve">P1-0153</t>
  </si>
  <si>
    <t xml:space="preserve">Guidance_Accuracy!I38</t>
  </si>
  <si>
    <t xml:space="preserve">Actual Non-GAAP operating income Q1 2023</t>
  </si>
  <si>
    <t xml:space="preserve">P1-0154</t>
  </si>
  <si>
    <t xml:space="preserve">Guidance_Accuracy!S38</t>
  </si>
  <si>
    <t xml:space="preserve">P1-0155</t>
  </si>
  <si>
    <t xml:space="preserve">Guidance_Accuracy!D39</t>
  </si>
  <si>
    <t xml:space="preserve">P1-0156</t>
  </si>
  <si>
    <t xml:space="preserve">Guidance_Accuracy!E39</t>
  </si>
  <si>
    <t xml:space="preserve">P1-0157</t>
  </si>
  <si>
    <t xml:space="preserve">Guidance_Accuracy!F39</t>
  </si>
  <si>
    <t xml:space="preserve">P1-0158</t>
  </si>
  <si>
    <t xml:space="preserve">Guidance_Accuracy!G39</t>
  </si>
  <si>
    <t xml:space="preserve">P1-0159</t>
  </si>
  <si>
    <t xml:space="preserve">Guidance_Accuracy!I39</t>
  </si>
  <si>
    <t xml:space="preserve">Actual Non-GAAP operating income Q2 2023</t>
  </si>
  <si>
    <t xml:space="preserve">P1-0160</t>
  </si>
  <si>
    <t xml:space="preserve">Guidance_Accuracy!S39</t>
  </si>
  <si>
    <t xml:space="preserve">P1-0161</t>
  </si>
  <si>
    <t xml:space="preserve">Guidance_Accuracy!D40</t>
  </si>
  <si>
    <t xml:space="preserve">P1-0162</t>
  </si>
  <si>
    <t xml:space="preserve">Guidance_Accuracy!E40</t>
  </si>
  <si>
    <t xml:space="preserve">P1-0163</t>
  </si>
  <si>
    <t xml:space="preserve">Guidance_Accuracy!F40</t>
  </si>
  <si>
    <t xml:space="preserve">P1-0164</t>
  </si>
  <si>
    <t xml:space="preserve">Guidance_Accuracy!G40</t>
  </si>
  <si>
    <t xml:space="preserve">P1-0165</t>
  </si>
  <si>
    <t xml:space="preserve">Guidance_Accuracy!I40</t>
  </si>
  <si>
    <t xml:space="preserve">Actual Non-GAAP operating income Q3 2023</t>
  </si>
  <si>
    <t xml:space="preserve">P1-0166</t>
  </si>
  <si>
    <t xml:space="preserve">Guidance_Accuracy!S40</t>
  </si>
  <si>
    <t xml:space="preserve">P1-0167</t>
  </si>
  <si>
    <t xml:space="preserve">Guidance_Accuracy!D41</t>
  </si>
  <si>
    <t xml:space="preserve">P1-0168</t>
  </si>
  <si>
    <t xml:space="preserve">Guidance_Accuracy!E41</t>
  </si>
  <si>
    <t xml:space="preserve">P1-0169</t>
  </si>
  <si>
    <t xml:space="preserve">Guidance_Accuracy!F41</t>
  </si>
  <si>
    <t xml:space="preserve">P1-0170</t>
  </si>
  <si>
    <t xml:space="preserve">Guidance_Accuracy!G41</t>
  </si>
  <si>
    <t xml:space="preserve">P1-0171</t>
  </si>
  <si>
    <t xml:space="preserve">Guidance_Accuracy!I41</t>
  </si>
  <si>
    <t xml:space="preserve">Actual Non-GAAP operating income Q4 2023</t>
  </si>
  <si>
    <t xml:space="preserve">P1-0172</t>
  </si>
  <si>
    <t xml:space="preserve">Guidance_Accuracy!S41</t>
  </si>
  <si>
    <t xml:space="preserve">P1-0173</t>
  </si>
  <si>
    <t xml:space="preserve">Guidance_Accuracy!D42</t>
  </si>
  <si>
    <t xml:space="preserve">P1-0174</t>
  </si>
  <si>
    <t xml:space="preserve">Guidance_Accuracy!E42</t>
  </si>
  <si>
    <t xml:space="preserve">P1-0175</t>
  </si>
  <si>
    <t xml:space="preserve">Guidance_Accuracy!F42</t>
  </si>
  <si>
    <t xml:space="preserve">P1-0176</t>
  </si>
  <si>
    <t xml:space="preserve">Guidance_Accuracy!G42</t>
  </si>
  <si>
    <t xml:space="preserve">P1-0177</t>
  </si>
  <si>
    <t xml:space="preserve">Guidance_Accuracy!I42</t>
  </si>
  <si>
    <t xml:space="preserve">Actual Non-GAAP operating income Q1 2024</t>
  </si>
  <si>
    <t xml:space="preserve">P1-0178</t>
  </si>
  <si>
    <t xml:space="preserve">Guidance_Accuracy!S42</t>
  </si>
  <si>
    <t xml:space="preserve">P1-0179</t>
  </si>
  <si>
    <t xml:space="preserve">Guidance_Accuracy!D43</t>
  </si>
  <si>
    <t xml:space="preserve">P1-0180</t>
  </si>
  <si>
    <t xml:space="preserve">Guidance_Accuracy!E43</t>
  </si>
  <si>
    <t xml:space="preserve">P1-0181</t>
  </si>
  <si>
    <t xml:space="preserve">Guidance_Accuracy!F43</t>
  </si>
  <si>
    <t xml:space="preserve">P1-0182</t>
  </si>
  <si>
    <t xml:space="preserve">Guidance_Accuracy!G43</t>
  </si>
  <si>
    <t xml:space="preserve">P1-0183</t>
  </si>
  <si>
    <t xml:space="preserve">Guidance_Accuracy!I43</t>
  </si>
  <si>
    <t xml:space="preserve">Actual Non-GAAP operating income Q2 2024</t>
  </si>
  <si>
    <t xml:space="preserve">P1-0184</t>
  </si>
  <si>
    <t xml:space="preserve">Guidance_Accuracy!S43</t>
  </si>
  <si>
    <t xml:space="preserve">P1-0185</t>
  </si>
  <si>
    <t xml:space="preserve">Guidance_Accuracy!D44</t>
  </si>
  <si>
    <t xml:space="preserve">P1-0186</t>
  </si>
  <si>
    <t xml:space="preserve">Guidance_Accuracy!E44</t>
  </si>
  <si>
    <t xml:space="preserve">P1-0187</t>
  </si>
  <si>
    <t xml:space="preserve">Guidance_Accuracy!F44</t>
  </si>
  <si>
    <t xml:space="preserve">P1-0188</t>
  </si>
  <si>
    <t xml:space="preserve">Guidance_Accuracy!G44</t>
  </si>
  <si>
    <t xml:space="preserve">P1-0189</t>
  </si>
  <si>
    <t xml:space="preserve">Guidance_Accuracy!I44</t>
  </si>
  <si>
    <t xml:space="preserve">Actual Non-GAAP operating income Q3 2024</t>
  </si>
  <si>
    <t xml:space="preserve">P1-0190</t>
  </si>
  <si>
    <t xml:space="preserve">Guidance_Accuracy!D45</t>
  </si>
  <si>
    <t xml:space="preserve">P1-0191</t>
  </si>
  <si>
    <t xml:space="preserve">Guidance_Accuracy!E45</t>
  </si>
  <si>
    <t xml:space="preserve">P1-0192</t>
  </si>
  <si>
    <t xml:space="preserve">Guidance_Accuracy!F45</t>
  </si>
  <si>
    <t xml:space="preserve">P1-0193</t>
  </si>
  <si>
    <t xml:space="preserve">Guidance_Accuracy!G45</t>
  </si>
  <si>
    <t xml:space="preserve">P1-0194</t>
  </si>
  <si>
    <t xml:space="preserve">Guidance_Accuracy!I45</t>
  </si>
  <si>
    <t xml:space="preserve">Actual Non-GAAP operating income Q4 2024</t>
  </si>
  <si>
    <t xml:space="preserve">P1-0195</t>
  </si>
  <si>
    <t xml:space="preserve">Guidance_Accuracy!D46</t>
  </si>
  <si>
    <t xml:space="preserve">P1-0196</t>
  </si>
  <si>
    <t xml:space="preserve">Guidance_Accuracy!E46</t>
  </si>
  <si>
    <t xml:space="preserve">P1-0197</t>
  </si>
  <si>
    <t xml:space="preserve">Guidance_Accuracy!F46</t>
  </si>
  <si>
    <t xml:space="preserve">P1-0198</t>
  </si>
  <si>
    <t xml:space="preserve">Guidance_Accuracy!G46</t>
  </si>
  <si>
    <t xml:space="preserve">P1-0199</t>
  </si>
  <si>
    <t xml:space="preserve">Guidance_Accuracy!I46</t>
  </si>
  <si>
    <t xml:space="preserve">Actual Non-GAAP operating income Q1 2025</t>
  </si>
  <si>
    <t xml:space="preserve">P1-0200</t>
  </si>
  <si>
    <t xml:space="preserve">Guidance_Accuracy!D47</t>
  </si>
  <si>
    <t xml:space="preserve">P1-0201</t>
  </si>
  <si>
    <t xml:space="preserve">Guidance_Accuracy!E47</t>
  </si>
  <si>
    <t xml:space="preserve">P1-0202</t>
  </si>
  <si>
    <t xml:space="preserve">Guidance_Accuracy!F47</t>
  </si>
  <si>
    <t xml:space="preserve">P1-0203</t>
  </si>
  <si>
    <t xml:space="preserve">Guidance_Accuracy!G47</t>
  </si>
  <si>
    <t xml:space="preserve">P1-0204</t>
  </si>
  <si>
    <t xml:space="preserve">Guidance_Accuracy!I47</t>
  </si>
  <si>
    <t xml:space="preserve">Actual Non-GAAP operating income Q2 2025</t>
  </si>
  <si>
    <t xml:space="preserve">P1-0205</t>
  </si>
  <si>
    <t xml:space="preserve">Guidance_Accuracy!D48</t>
  </si>
  <si>
    <t xml:space="preserve">P1-0206</t>
  </si>
  <si>
    <t xml:space="preserve">Guidance_Accuracy!E48</t>
  </si>
  <si>
    <t xml:space="preserve">P1-0207</t>
  </si>
  <si>
    <t xml:space="preserve">Guidance_Accuracy!F48</t>
  </si>
  <si>
    <t xml:space="preserve">P1-0208</t>
  </si>
  <si>
    <t xml:space="preserve">Guidance_Accuracy!G48</t>
  </si>
  <si>
    <t xml:space="preserve">P1-0209</t>
  </si>
  <si>
    <t xml:space="preserve">Guidance_Accuracy!I48</t>
  </si>
  <si>
    <t xml:space="preserve">Actual Non-GAAP operating income Q3 2025</t>
  </si>
  <si>
    <t xml:space="preserve">P1-0210</t>
  </si>
  <si>
    <t xml:space="preserve">Guidance_Accuracy!D49</t>
  </si>
  <si>
    <t xml:space="preserve">P1-0211</t>
  </si>
  <si>
    <t xml:space="preserve">Guidance_Accuracy!E49</t>
  </si>
  <si>
    <t xml:space="preserve">P1-0212</t>
  </si>
  <si>
    <t xml:space="preserve">Guidance_Accuracy!F49</t>
  </si>
  <si>
    <t xml:space="preserve">P1-0213</t>
  </si>
  <si>
    <t xml:space="preserve">Guidance_Accuracy!G49</t>
  </si>
  <si>
    <t xml:space="preserve">P1-0214</t>
  </si>
  <si>
    <t xml:space="preserve">Guidance_Accuracy!I49</t>
  </si>
  <si>
    <t xml:space="preserve">Actual Non-GAAP operating income Q4 2025</t>
  </si>
  <si>
    <t xml:space="preserve">P1-0215</t>
  </si>
  <si>
    <t xml:space="preserve">Guidance_Accuracy!V49</t>
  </si>
  <si>
    <t xml:space="preserve">P1-0216</t>
  </si>
  <si>
    <t xml:space="preserve">Guidance_Accuracy!D50</t>
  </si>
  <si>
    <t xml:space="preserve">P1-0217</t>
  </si>
  <si>
    <t xml:space="preserve">Guidance_Accuracy!E50</t>
  </si>
  <si>
    <t xml:space="preserve">P1-0218</t>
  </si>
  <si>
    <t xml:space="preserve">Guidance_Accuracy!F50</t>
  </si>
  <si>
    <t xml:space="preserve">P1-0219</t>
  </si>
  <si>
    <t xml:space="preserve">Guidance_Accuracy!G50</t>
  </si>
  <si>
    <t xml:space="preserve">P1-0220</t>
  </si>
  <si>
    <t xml:space="preserve">Guidance_Accuracy!I50</t>
  </si>
  <si>
    <t xml:space="preserve">Actual Non-GAAP operating income Q1 2026</t>
  </si>
  <si>
    <t xml:space="preserve">P1-0221</t>
  </si>
  <si>
    <t xml:space="preserve">Guidance_Accuracy!V50</t>
  </si>
  <si>
    <t xml:space="preserve">P1-0222</t>
  </si>
  <si>
    <t xml:space="preserve">Guidance_Accuracy!D51</t>
  </si>
  <si>
    <t xml:space="preserve">P1-0223</t>
  </si>
  <si>
    <t xml:space="preserve">Guidance_Accuracy!E51</t>
  </si>
  <si>
    <t xml:space="preserve">P1-0224</t>
  </si>
  <si>
    <t xml:space="preserve">Guidance_Accuracy!F51</t>
  </si>
  <si>
    <t xml:space="preserve">P1-0225</t>
  </si>
  <si>
    <t xml:space="preserve">Guidance_Accuracy!G51</t>
  </si>
  <si>
    <t xml:space="preserve">P1-0226</t>
  </si>
  <si>
    <t xml:space="preserve">Guidance_Accuracy!I51</t>
  </si>
  <si>
    <t xml:space="preserve">Actual Non-GAAP operating income Q2 2026</t>
  </si>
  <si>
    <t xml:space="preserve">P1-0227</t>
  </si>
  <si>
    <t xml:space="preserve">Guidance_Accuracy!S51</t>
  </si>
  <si>
    <t xml:space="preserve">P1-0228</t>
  </si>
  <si>
    <t xml:space="preserve">Guidance_Accuracy!V51</t>
  </si>
  <si>
    <t xml:space="preserve">P1-0229</t>
  </si>
  <si>
    <t xml:space="preserve">Guidance_Accuracy!D57</t>
  </si>
  <si>
    <t xml:space="preserve">P1-0230</t>
  </si>
  <si>
    <t xml:space="preserve">Guidance_Accuracy!E57</t>
  </si>
  <si>
    <t xml:space="preserve">P1-0231</t>
  </si>
  <si>
    <t xml:space="preserve">Guidance_Accuracy!F57</t>
  </si>
  <si>
    <t xml:space="preserve">P1-0232</t>
  </si>
  <si>
    <t xml:space="preserve">Guidance_Accuracy!G57</t>
  </si>
  <si>
    <t xml:space="preserve">P1-0233</t>
  </si>
  <si>
    <t xml:space="preserve">Guidance_Accuracy!I57</t>
  </si>
  <si>
    <t xml:space="preserve">Actual Adjusted free cash flow / free cash flow Q1 2024</t>
  </si>
  <si>
    <t xml:space="preserve">P1-0234</t>
  </si>
  <si>
    <t xml:space="preserve">Guidance_Accuracy!S57</t>
  </si>
  <si>
    <t xml:space="preserve">P1-0235</t>
  </si>
  <si>
    <t xml:space="preserve">Guidance_Accuracy!D58</t>
  </si>
  <si>
    <t xml:space="preserve">P1-0236</t>
  </si>
  <si>
    <t xml:space="preserve">Guidance_Accuracy!E58</t>
  </si>
  <si>
    <t xml:space="preserve">P1-0237</t>
  </si>
  <si>
    <t xml:space="preserve">Guidance_Accuracy!F58</t>
  </si>
  <si>
    <t xml:space="preserve">P1-0238</t>
  </si>
  <si>
    <t xml:space="preserve">Guidance_Accuracy!G58</t>
  </si>
  <si>
    <t xml:space="preserve">P1-0239</t>
  </si>
  <si>
    <t xml:space="preserve">Guidance_Accuracy!I58</t>
  </si>
  <si>
    <t xml:space="preserve">Actual Adjusted free cash flow / free cash flow Q2 2024</t>
  </si>
  <si>
    <t xml:space="preserve">P1-0240</t>
  </si>
  <si>
    <t xml:space="preserve">Guidance_Accuracy!S58</t>
  </si>
  <si>
    <t xml:space="preserve">P1-0241</t>
  </si>
  <si>
    <t xml:space="preserve">Guidance_Accuracy!D59</t>
  </si>
  <si>
    <t xml:space="preserve">P1-0242</t>
  </si>
  <si>
    <t xml:space="preserve">Guidance_Accuracy!E59</t>
  </si>
  <si>
    <t xml:space="preserve">P1-0243</t>
  </si>
  <si>
    <t xml:space="preserve">Guidance_Accuracy!F59</t>
  </si>
  <si>
    <t xml:space="preserve">P1-0244</t>
  </si>
  <si>
    <t xml:space="preserve">Guidance_Accuracy!G59</t>
  </si>
  <si>
    <t xml:space="preserve">P1-0245</t>
  </si>
  <si>
    <t xml:space="preserve">Guidance_Accuracy!I59</t>
  </si>
  <si>
    <t xml:space="preserve">Actual Adjusted free cash flow / free cash flow Q3 2024</t>
  </si>
  <si>
    <t xml:space="preserve">P1-0246</t>
  </si>
  <si>
    <t xml:space="preserve">Guidance_Accuracy!D60</t>
  </si>
  <si>
    <t xml:space="preserve">P1-0247</t>
  </si>
  <si>
    <t xml:space="preserve">Guidance_Accuracy!E60</t>
  </si>
  <si>
    <t xml:space="preserve">P1-0248</t>
  </si>
  <si>
    <t xml:space="preserve">Guidance_Accuracy!F60</t>
  </si>
  <si>
    <t xml:space="preserve">P1-0249</t>
  </si>
  <si>
    <t xml:space="preserve">Guidance_Accuracy!G60</t>
  </si>
  <si>
    <t xml:space="preserve">P1-0250</t>
  </si>
  <si>
    <t xml:space="preserve">Guidance_Accuracy!I60</t>
  </si>
  <si>
    <t xml:space="preserve">Actual Adjusted free cash flow / free cash flow Q4 2024</t>
  </si>
  <si>
    <t xml:space="preserve">P1-0251</t>
  </si>
  <si>
    <t xml:space="preserve">Guidance_Accuracy!D80</t>
  </si>
  <si>
    <t xml:space="preserve">FY vintage issued with</t>
  </si>
  <si>
    <t xml:space="preserve">P1-0252</t>
  </si>
  <si>
    <t xml:space="preserve">Guidance_Accuracy!E80</t>
  </si>
  <si>
    <t xml:space="preserve">FY vintage metric</t>
  </si>
  <si>
    <t xml:space="preserve">P1-0253</t>
  </si>
  <si>
    <t xml:space="preserve">Guidance_Accuracy!F80</t>
  </si>
  <si>
    <t xml:space="preserve">FY guidance low</t>
  </si>
  <si>
    <t xml:space="preserve">P1-0254</t>
  </si>
  <si>
    <t xml:space="preserve">Guidance_Accuracy!G80</t>
  </si>
  <si>
    <t xml:space="preserve">FY guidance high</t>
  </si>
  <si>
    <t xml:space="preserve">P1-0255</t>
  </si>
  <si>
    <t xml:space="preserve">Guidance_Accuracy!I80</t>
  </si>
  <si>
    <t xml:space="preserve">FY actual Non-GAAP operating income (loss) FY 2021</t>
  </si>
  <si>
    <t xml:space="preserve">P1-0256</t>
  </si>
  <si>
    <t xml:space="preserve">Guidance_Accuracy!D81</t>
  </si>
  <si>
    <t xml:space="preserve">P1-0257</t>
  </si>
  <si>
    <t xml:space="preserve">Guidance_Accuracy!E81</t>
  </si>
  <si>
    <t xml:space="preserve">P1-0258</t>
  </si>
  <si>
    <t xml:space="preserve">Guidance_Accuracy!F81</t>
  </si>
  <si>
    <t xml:space="preserve">P1-0259</t>
  </si>
  <si>
    <t xml:space="preserve">Guidance_Accuracy!G81</t>
  </si>
  <si>
    <t xml:space="preserve">P1-0260</t>
  </si>
  <si>
    <t xml:space="preserve">Guidance_Accuracy!I81</t>
  </si>
  <si>
    <t xml:space="preserve">FY actual Revenue FY 2021</t>
  </si>
  <si>
    <t xml:space="preserve">P1-0261</t>
  </si>
  <si>
    <t xml:space="preserve">Guidance_Accuracy!D82</t>
  </si>
  <si>
    <t xml:space="preserve">P1-0262</t>
  </si>
  <si>
    <t xml:space="preserve">Guidance_Accuracy!E82</t>
  </si>
  <si>
    <t xml:space="preserve">P1-0263</t>
  </si>
  <si>
    <t xml:space="preserve">Guidance_Accuracy!F82</t>
  </si>
  <si>
    <t xml:space="preserve">P1-0264</t>
  </si>
  <si>
    <t xml:space="preserve">Guidance_Accuracy!G82</t>
  </si>
  <si>
    <t xml:space="preserve">P1-0265</t>
  </si>
  <si>
    <t xml:space="preserve">Guidance_Accuracy!I82</t>
  </si>
  <si>
    <t xml:space="preserve">P1-0266</t>
  </si>
  <si>
    <t xml:space="preserve">Guidance_Accuracy!D83</t>
  </si>
  <si>
    <t xml:space="preserve">P1-0267</t>
  </si>
  <si>
    <t xml:space="preserve">Guidance_Accuracy!E83</t>
  </si>
  <si>
    <t xml:space="preserve">P1-0268</t>
  </si>
  <si>
    <t xml:space="preserve">Guidance_Accuracy!F83</t>
  </si>
  <si>
    <t xml:space="preserve">P1-0269</t>
  </si>
  <si>
    <t xml:space="preserve">Guidance_Accuracy!G83</t>
  </si>
  <si>
    <t xml:space="preserve">P1-0270</t>
  </si>
  <si>
    <t xml:space="preserve">Guidance_Accuracy!I83</t>
  </si>
  <si>
    <t xml:space="preserve">P1-0271</t>
  </si>
  <si>
    <t xml:space="preserve">Guidance_Accuracy!D84</t>
  </si>
  <si>
    <t xml:space="preserve">P1-0272</t>
  </si>
  <si>
    <t xml:space="preserve">Guidance_Accuracy!E84</t>
  </si>
  <si>
    <t xml:space="preserve">P1-0273</t>
  </si>
  <si>
    <t xml:space="preserve">Guidance_Accuracy!F84</t>
  </si>
  <si>
    <t xml:space="preserve">P1-0274</t>
  </si>
  <si>
    <t xml:space="preserve">Guidance_Accuracy!G84</t>
  </si>
  <si>
    <t xml:space="preserve">P1-0275</t>
  </si>
  <si>
    <t xml:space="preserve">Guidance_Accuracy!I84</t>
  </si>
  <si>
    <t xml:space="preserve">FY actual Non-GAAP operating income (loss) FY 2022</t>
  </si>
  <si>
    <t xml:space="preserve">P1-0276</t>
  </si>
  <si>
    <t xml:space="preserve">Guidance_Accuracy!D85</t>
  </si>
  <si>
    <t xml:space="preserve">P1-0277</t>
  </si>
  <si>
    <t xml:space="preserve">Guidance_Accuracy!E85</t>
  </si>
  <si>
    <t xml:space="preserve">P1-0278</t>
  </si>
  <si>
    <t xml:space="preserve">Guidance_Accuracy!F85</t>
  </si>
  <si>
    <t xml:space="preserve">P1-0279</t>
  </si>
  <si>
    <t xml:space="preserve">Guidance_Accuracy!G85</t>
  </si>
  <si>
    <t xml:space="preserve">P1-0280</t>
  </si>
  <si>
    <t xml:space="preserve">Guidance_Accuracy!I85</t>
  </si>
  <si>
    <t xml:space="preserve">FY actual Revenue FY 2022</t>
  </si>
  <si>
    <t xml:space="preserve">P1-0281</t>
  </si>
  <si>
    <t xml:space="preserve">Guidance_Accuracy!D86</t>
  </si>
  <si>
    <t xml:space="preserve">P1-0282</t>
  </si>
  <si>
    <t xml:space="preserve">Guidance_Accuracy!E86</t>
  </si>
  <si>
    <t xml:space="preserve">P1-0283</t>
  </si>
  <si>
    <t xml:space="preserve">Guidance_Accuracy!F86</t>
  </si>
  <si>
    <t xml:space="preserve">P1-0284</t>
  </si>
  <si>
    <t xml:space="preserve">Guidance_Accuracy!G86</t>
  </si>
  <si>
    <t xml:space="preserve">P1-0285</t>
  </si>
  <si>
    <t xml:space="preserve">Guidance_Accuracy!I86</t>
  </si>
  <si>
    <t xml:space="preserve">P1-0286</t>
  </si>
  <si>
    <t xml:space="preserve">Guidance_Accuracy!D87</t>
  </si>
  <si>
    <t xml:space="preserve">P1-0287</t>
  </si>
  <si>
    <t xml:space="preserve">Guidance_Accuracy!E87</t>
  </si>
  <si>
    <t xml:space="preserve">P1-0288</t>
  </si>
  <si>
    <t xml:space="preserve">Guidance_Accuracy!F87</t>
  </si>
  <si>
    <t xml:space="preserve">P1-0289</t>
  </si>
  <si>
    <t xml:space="preserve">Guidance_Accuracy!G87</t>
  </si>
  <si>
    <t xml:space="preserve">P1-0290</t>
  </si>
  <si>
    <t xml:space="preserve">Guidance_Accuracy!I87</t>
  </si>
  <si>
    <t xml:space="preserve">P1-0291</t>
  </si>
  <si>
    <t xml:space="preserve">Guidance_Accuracy!D88</t>
  </si>
  <si>
    <t xml:space="preserve">P1-0292</t>
  </si>
  <si>
    <t xml:space="preserve">Guidance_Accuracy!E88</t>
  </si>
  <si>
    <t xml:space="preserve">P1-0293</t>
  </si>
  <si>
    <t xml:space="preserve">Guidance_Accuracy!F88</t>
  </si>
  <si>
    <t xml:space="preserve">P1-0294</t>
  </si>
  <si>
    <t xml:space="preserve">Guidance_Accuracy!G88</t>
  </si>
  <si>
    <t xml:space="preserve">P1-0295</t>
  </si>
  <si>
    <t xml:space="preserve">Guidance_Accuracy!I88</t>
  </si>
  <si>
    <t xml:space="preserve">P1-0296</t>
  </si>
  <si>
    <t xml:space="preserve">Guidance_Accuracy!D89</t>
  </si>
  <si>
    <t xml:space="preserve">P1-0297</t>
  </si>
  <si>
    <t xml:space="preserve">Guidance_Accuracy!E89</t>
  </si>
  <si>
    <t xml:space="preserve">P1-0298</t>
  </si>
  <si>
    <t xml:space="preserve">Guidance_Accuracy!F89</t>
  </si>
  <si>
    <t xml:space="preserve">P1-0299</t>
  </si>
  <si>
    <t xml:space="preserve">Guidance_Accuracy!G89</t>
  </si>
  <si>
    <t xml:space="preserve">P1-0300</t>
  </si>
  <si>
    <t xml:space="preserve">Guidance_Accuracy!I89</t>
  </si>
  <si>
    <t xml:space="preserve">P1-0301</t>
  </si>
  <si>
    <t xml:space="preserve">Guidance_Accuracy!D90</t>
  </si>
  <si>
    <t xml:space="preserve">P1-0302</t>
  </si>
  <si>
    <t xml:space="preserve">Guidance_Accuracy!E90</t>
  </si>
  <si>
    <t xml:space="preserve">P1-0303</t>
  </si>
  <si>
    <t xml:space="preserve">Guidance_Accuracy!F90</t>
  </si>
  <si>
    <t xml:space="preserve">P1-0304</t>
  </si>
  <si>
    <t xml:space="preserve">Guidance_Accuracy!G90</t>
  </si>
  <si>
    <t xml:space="preserve">P1-0305</t>
  </si>
  <si>
    <t xml:space="preserve">Guidance_Accuracy!I90</t>
  </si>
  <si>
    <t xml:space="preserve">P1-0306</t>
  </si>
  <si>
    <t xml:space="preserve">Guidance_Accuracy!D91</t>
  </si>
  <si>
    <t xml:space="preserve">P1-0307</t>
  </si>
  <si>
    <t xml:space="preserve">Guidance_Accuracy!E91</t>
  </si>
  <si>
    <t xml:space="preserve">P1-0308</t>
  </si>
  <si>
    <t xml:space="preserve">Guidance_Accuracy!F91</t>
  </si>
  <si>
    <t xml:space="preserve">P1-0309</t>
  </si>
  <si>
    <t xml:space="preserve">Guidance_Accuracy!G91</t>
  </si>
  <si>
    <t xml:space="preserve">P1-0310</t>
  </si>
  <si>
    <t xml:space="preserve">Guidance_Accuracy!I91</t>
  </si>
  <si>
    <t xml:space="preserve">P1-0311</t>
  </si>
  <si>
    <t xml:space="preserve">Guidance_Accuracy!D92</t>
  </si>
  <si>
    <t xml:space="preserve">P1-0312</t>
  </si>
  <si>
    <t xml:space="preserve">Guidance_Accuracy!E92</t>
  </si>
  <si>
    <t xml:space="preserve">P1-0313</t>
  </si>
  <si>
    <t xml:space="preserve">Guidance_Accuracy!F92</t>
  </si>
  <si>
    <t xml:space="preserve">P1-0314</t>
  </si>
  <si>
    <t xml:space="preserve">Guidance_Accuracy!G92</t>
  </si>
  <si>
    <t xml:space="preserve">P1-0315</t>
  </si>
  <si>
    <t xml:space="preserve">Guidance_Accuracy!I92</t>
  </si>
  <si>
    <t xml:space="preserve">FY actual Non-GAAP operating income (loss) FY 2023</t>
  </si>
  <si>
    <t xml:space="preserve">P1-0316</t>
  </si>
  <si>
    <t xml:space="preserve">Guidance_Accuracy!D93</t>
  </si>
  <si>
    <t xml:space="preserve">P1-0317</t>
  </si>
  <si>
    <t xml:space="preserve">Guidance_Accuracy!E93</t>
  </si>
  <si>
    <t xml:space="preserve">P1-0318</t>
  </si>
  <si>
    <t xml:space="preserve">Guidance_Accuracy!F93</t>
  </si>
  <si>
    <t xml:space="preserve">P1-0319</t>
  </si>
  <si>
    <t xml:space="preserve">Guidance_Accuracy!G93</t>
  </si>
  <si>
    <t xml:space="preserve">P1-0320</t>
  </si>
  <si>
    <t xml:space="preserve">Guidance_Accuracy!I93</t>
  </si>
  <si>
    <t xml:space="preserve">FY actual Revenue FY 2023</t>
  </si>
  <si>
    <t xml:space="preserve">P1-0321</t>
  </si>
  <si>
    <t xml:space="preserve">Guidance_Accuracy!D94</t>
  </si>
  <si>
    <t xml:space="preserve">P1-0322</t>
  </si>
  <si>
    <t xml:space="preserve">Guidance_Accuracy!E94</t>
  </si>
  <si>
    <t xml:space="preserve">P1-0323</t>
  </si>
  <si>
    <t xml:space="preserve">Guidance_Accuracy!F94</t>
  </si>
  <si>
    <t xml:space="preserve">P1-0324</t>
  </si>
  <si>
    <t xml:space="preserve">Guidance_Accuracy!G94</t>
  </si>
  <si>
    <t xml:space="preserve">P1-0325</t>
  </si>
  <si>
    <t xml:space="preserve">Guidance_Accuracy!I94</t>
  </si>
  <si>
    <t xml:space="preserve">P1-0326</t>
  </si>
  <si>
    <t xml:space="preserve">Guidance_Accuracy!D95</t>
  </si>
  <si>
    <t xml:space="preserve">P1-0327</t>
  </si>
  <si>
    <t xml:space="preserve">Guidance_Accuracy!E95</t>
  </si>
  <si>
    <t xml:space="preserve">P1-0328</t>
  </si>
  <si>
    <t xml:space="preserve">Guidance_Accuracy!F95</t>
  </si>
  <si>
    <t xml:space="preserve">P1-0329</t>
  </si>
  <si>
    <t xml:space="preserve">Guidance_Accuracy!G95</t>
  </si>
  <si>
    <t xml:space="preserve">P1-0330</t>
  </si>
  <si>
    <t xml:space="preserve">Guidance_Accuracy!I95</t>
  </si>
  <si>
    <t xml:space="preserve">P1-0331</t>
  </si>
  <si>
    <t xml:space="preserve">Guidance_Accuracy!D96</t>
  </si>
  <si>
    <t xml:space="preserve">P1-0332</t>
  </si>
  <si>
    <t xml:space="preserve">Guidance_Accuracy!E96</t>
  </si>
  <si>
    <t xml:space="preserve">P1-0333</t>
  </si>
  <si>
    <t xml:space="preserve">Guidance_Accuracy!F96</t>
  </si>
  <si>
    <t xml:space="preserve">P1-0334</t>
  </si>
  <si>
    <t xml:space="preserve">Guidance_Accuracy!G96</t>
  </si>
  <si>
    <t xml:space="preserve">P1-0335</t>
  </si>
  <si>
    <t xml:space="preserve">Guidance_Accuracy!I96</t>
  </si>
  <si>
    <t xml:space="preserve">P1-0336</t>
  </si>
  <si>
    <t xml:space="preserve">Guidance_Accuracy!D97</t>
  </si>
  <si>
    <t xml:space="preserve">P1-0337</t>
  </si>
  <si>
    <t xml:space="preserve">Guidance_Accuracy!E97</t>
  </si>
  <si>
    <t xml:space="preserve">P1-0338</t>
  </si>
  <si>
    <t xml:space="preserve">Guidance_Accuracy!F97</t>
  </si>
  <si>
    <t xml:space="preserve">P1-0339</t>
  </si>
  <si>
    <t xml:space="preserve">Guidance_Accuracy!G97</t>
  </si>
  <si>
    <t xml:space="preserve">P1-0340</t>
  </si>
  <si>
    <t xml:space="preserve">Guidance_Accuracy!I97</t>
  </si>
  <si>
    <t xml:space="preserve">P1-0341</t>
  </si>
  <si>
    <t xml:space="preserve">Guidance_Accuracy!D98</t>
  </si>
  <si>
    <t xml:space="preserve">P1-0342</t>
  </si>
  <si>
    <t xml:space="preserve">Guidance_Accuracy!E98</t>
  </si>
  <si>
    <t xml:space="preserve">P1-0343</t>
  </si>
  <si>
    <t xml:space="preserve">Guidance_Accuracy!F98</t>
  </si>
  <si>
    <t xml:space="preserve">P1-0344</t>
  </si>
  <si>
    <t xml:space="preserve">Guidance_Accuracy!G98</t>
  </si>
  <si>
    <t xml:space="preserve">P1-0345</t>
  </si>
  <si>
    <t xml:space="preserve">Guidance_Accuracy!I98</t>
  </si>
  <si>
    <t xml:space="preserve">P1-0346</t>
  </si>
  <si>
    <t xml:space="preserve">Guidance_Accuracy!D99</t>
  </si>
  <si>
    <t xml:space="preserve">P1-0347</t>
  </si>
  <si>
    <t xml:space="preserve">Guidance_Accuracy!E99</t>
  </si>
  <si>
    <t xml:space="preserve">P1-0348</t>
  </si>
  <si>
    <t xml:space="preserve">Guidance_Accuracy!F99</t>
  </si>
  <si>
    <t xml:space="preserve">P1-0349</t>
  </si>
  <si>
    <t xml:space="preserve">Guidance_Accuracy!G99</t>
  </si>
  <si>
    <t xml:space="preserve">P1-0350</t>
  </si>
  <si>
    <t xml:space="preserve">Guidance_Accuracy!I99</t>
  </si>
  <si>
    <t xml:space="preserve">P1-0351</t>
  </si>
  <si>
    <t xml:space="preserve">Guidance_Accuracy!D100</t>
  </si>
  <si>
    <t xml:space="preserve">P1-0352</t>
  </si>
  <si>
    <t xml:space="preserve">Guidance_Accuracy!E100</t>
  </si>
  <si>
    <t xml:space="preserve">P1-0353</t>
  </si>
  <si>
    <t xml:space="preserve">Guidance_Accuracy!F100</t>
  </si>
  <si>
    <t xml:space="preserve">P1-0354</t>
  </si>
  <si>
    <t xml:space="preserve">Guidance_Accuracy!G100</t>
  </si>
  <si>
    <t xml:space="preserve">P1-0355</t>
  </si>
  <si>
    <t xml:space="preserve">Guidance_Accuracy!I100</t>
  </si>
  <si>
    <t xml:space="preserve">FY actual Free cash flow FY 2024</t>
  </si>
  <si>
    <t xml:space="preserve">P1-0356</t>
  </si>
  <si>
    <t xml:space="preserve">Guidance_Accuracy!D101</t>
  </si>
  <si>
    <t xml:space="preserve">P1-0357</t>
  </si>
  <si>
    <t xml:space="preserve">Guidance_Accuracy!E101</t>
  </si>
  <si>
    <t xml:space="preserve">P1-0358</t>
  </si>
  <si>
    <t xml:space="preserve">Guidance_Accuracy!F101</t>
  </si>
  <si>
    <t xml:space="preserve">P1-0359</t>
  </si>
  <si>
    <t xml:space="preserve">Guidance_Accuracy!G101</t>
  </si>
  <si>
    <t xml:space="preserve">P1-0360</t>
  </si>
  <si>
    <t xml:space="preserve">Guidance_Accuracy!I101</t>
  </si>
  <si>
    <t xml:space="preserve">FY actual Non-GAAP operating income (loss) FY 2024</t>
  </si>
  <si>
    <t xml:space="preserve">P1-0361</t>
  </si>
  <si>
    <t xml:space="preserve">Guidance_Accuracy!D102</t>
  </si>
  <si>
    <t xml:space="preserve">P1-0362</t>
  </si>
  <si>
    <t xml:space="preserve">Guidance_Accuracy!E102</t>
  </si>
  <si>
    <t xml:space="preserve">P1-0363</t>
  </si>
  <si>
    <t xml:space="preserve">Guidance_Accuracy!F102</t>
  </si>
  <si>
    <t xml:space="preserve">P1-0364</t>
  </si>
  <si>
    <t xml:space="preserve">Guidance_Accuracy!G102</t>
  </si>
  <si>
    <t xml:space="preserve">P1-0365</t>
  </si>
  <si>
    <t xml:space="preserve">Guidance_Accuracy!I102</t>
  </si>
  <si>
    <t xml:space="preserve">FY actual Revenue FY 2024</t>
  </si>
  <si>
    <t xml:space="preserve">P1-0366</t>
  </si>
  <si>
    <t xml:space="preserve">Guidance_Accuracy!D103</t>
  </si>
  <si>
    <t xml:space="preserve">P1-0367</t>
  </si>
  <si>
    <t xml:space="preserve">Guidance_Accuracy!E103</t>
  </si>
  <si>
    <t xml:space="preserve">P1-0368</t>
  </si>
  <si>
    <t xml:space="preserve">Guidance_Accuracy!F103</t>
  </si>
  <si>
    <t xml:space="preserve">P1-0369</t>
  </si>
  <si>
    <t xml:space="preserve">Guidance_Accuracy!G103</t>
  </si>
  <si>
    <t xml:space="preserve">P1-0370</t>
  </si>
  <si>
    <t xml:space="preserve">Guidance_Accuracy!I103</t>
  </si>
  <si>
    <t xml:space="preserve">P1-0371</t>
  </si>
  <si>
    <t xml:space="preserve">Guidance_Accuracy!D104</t>
  </si>
  <si>
    <t xml:space="preserve">P1-0372</t>
  </si>
  <si>
    <t xml:space="preserve">Guidance_Accuracy!E104</t>
  </si>
  <si>
    <t xml:space="preserve">P1-0373</t>
  </si>
  <si>
    <t xml:space="preserve">Guidance_Accuracy!F104</t>
  </si>
  <si>
    <t xml:space="preserve">P1-0374</t>
  </si>
  <si>
    <t xml:space="preserve">Guidance_Accuracy!G104</t>
  </si>
  <si>
    <t xml:space="preserve">P1-0375</t>
  </si>
  <si>
    <t xml:space="preserve">Guidance_Accuracy!I104</t>
  </si>
  <si>
    <t xml:space="preserve">P1-0376</t>
  </si>
  <si>
    <t xml:space="preserve">Guidance_Accuracy!D105</t>
  </si>
  <si>
    <t xml:space="preserve">P1-0377</t>
  </si>
  <si>
    <t xml:space="preserve">Guidance_Accuracy!E105</t>
  </si>
  <si>
    <t xml:space="preserve">P1-0378</t>
  </si>
  <si>
    <t xml:space="preserve">Guidance_Accuracy!F105</t>
  </si>
  <si>
    <t xml:space="preserve">P1-0379</t>
  </si>
  <si>
    <t xml:space="preserve">Guidance_Accuracy!G105</t>
  </si>
  <si>
    <t xml:space="preserve">P1-0380</t>
  </si>
  <si>
    <t xml:space="preserve">Guidance_Accuracy!I105</t>
  </si>
  <si>
    <t xml:space="preserve">P1-0381</t>
  </si>
  <si>
    <t xml:space="preserve">Guidance_Accuracy!D106</t>
  </si>
  <si>
    <t xml:space="preserve">P1-0382</t>
  </si>
  <si>
    <t xml:space="preserve">Guidance_Accuracy!E106</t>
  </si>
  <si>
    <t xml:space="preserve">P1-0383</t>
  </si>
  <si>
    <t xml:space="preserve">Guidance_Accuracy!F106</t>
  </si>
  <si>
    <t xml:space="preserve">P1-0384</t>
  </si>
  <si>
    <t xml:space="preserve">Guidance_Accuracy!G106</t>
  </si>
  <si>
    <t xml:space="preserve">P1-0385</t>
  </si>
  <si>
    <t xml:space="preserve">Guidance_Accuracy!I106</t>
  </si>
  <si>
    <t xml:space="preserve">P1-0386</t>
  </si>
  <si>
    <t xml:space="preserve">Guidance_Accuracy!D107</t>
  </si>
  <si>
    <t xml:space="preserve">P1-0387</t>
  </si>
  <si>
    <t xml:space="preserve">Guidance_Accuracy!E107</t>
  </si>
  <si>
    <t xml:space="preserve">P1-0388</t>
  </si>
  <si>
    <t xml:space="preserve">Guidance_Accuracy!F107</t>
  </si>
  <si>
    <t xml:space="preserve">P1-0389</t>
  </si>
  <si>
    <t xml:space="preserve">Guidance_Accuracy!G107</t>
  </si>
  <si>
    <t xml:space="preserve">P1-0390</t>
  </si>
  <si>
    <t xml:space="preserve">Guidance_Accuracy!I107</t>
  </si>
  <si>
    <t xml:space="preserve">P1-0391</t>
  </si>
  <si>
    <t xml:space="preserve">Guidance_Accuracy!D108</t>
  </si>
  <si>
    <t xml:space="preserve">P1-0392</t>
  </si>
  <si>
    <t xml:space="preserve">Guidance_Accuracy!E108</t>
  </si>
  <si>
    <t xml:space="preserve">P1-0393</t>
  </si>
  <si>
    <t xml:space="preserve">Guidance_Accuracy!F108</t>
  </si>
  <si>
    <t xml:space="preserve">P1-0394</t>
  </si>
  <si>
    <t xml:space="preserve">Guidance_Accuracy!G108</t>
  </si>
  <si>
    <t xml:space="preserve">P1-0395</t>
  </si>
  <si>
    <t xml:space="preserve">Guidance_Accuracy!I108</t>
  </si>
  <si>
    <t xml:space="preserve">P1-0396</t>
  </si>
  <si>
    <t xml:space="preserve">Guidance_Accuracy!D109</t>
  </si>
  <si>
    <t xml:space="preserve">P1-0397</t>
  </si>
  <si>
    <t xml:space="preserve">Guidance_Accuracy!E109</t>
  </si>
  <si>
    <t xml:space="preserve">P1-0398</t>
  </si>
  <si>
    <t xml:space="preserve">Guidance_Accuracy!F109</t>
  </si>
  <si>
    <t xml:space="preserve">P1-0399</t>
  </si>
  <si>
    <t xml:space="preserve">Guidance_Accuracy!G109</t>
  </si>
  <si>
    <t xml:space="preserve">P1-0400</t>
  </si>
  <si>
    <t xml:space="preserve">Guidance_Accuracy!I109</t>
  </si>
  <si>
    <t xml:space="preserve">P1-0401</t>
  </si>
  <si>
    <t xml:space="preserve">Guidance_Accuracy!D110</t>
  </si>
  <si>
    <t xml:space="preserve">P1-0402</t>
  </si>
  <si>
    <t xml:space="preserve">Guidance_Accuracy!E110</t>
  </si>
  <si>
    <t xml:space="preserve">P1-0403</t>
  </si>
  <si>
    <t xml:space="preserve">Guidance_Accuracy!F110</t>
  </si>
  <si>
    <t xml:space="preserve">P1-0404</t>
  </si>
  <si>
    <t xml:space="preserve">Guidance_Accuracy!G110</t>
  </si>
  <si>
    <t xml:space="preserve">P1-0405</t>
  </si>
  <si>
    <t xml:space="preserve">Guidance_Accuracy!I110</t>
  </si>
  <si>
    <t xml:space="preserve">P1-0406</t>
  </si>
  <si>
    <t xml:space="preserve">Guidance_Accuracy!D111</t>
  </si>
  <si>
    <t xml:space="preserve">P1-0407</t>
  </si>
  <si>
    <t xml:space="preserve">Guidance_Accuracy!E111</t>
  </si>
  <si>
    <t xml:space="preserve">P1-0408</t>
  </si>
  <si>
    <t xml:space="preserve">Guidance_Accuracy!F111</t>
  </si>
  <si>
    <t xml:space="preserve">P1-0409</t>
  </si>
  <si>
    <t xml:space="preserve">Guidance_Accuracy!G111</t>
  </si>
  <si>
    <t xml:space="preserve">P1-0410</t>
  </si>
  <si>
    <t xml:space="preserve">Guidance_Accuracy!I111</t>
  </si>
  <si>
    <t xml:space="preserve">P1-0411</t>
  </si>
  <si>
    <t xml:space="preserve">Guidance_Accuracy!D112</t>
  </si>
  <si>
    <t xml:space="preserve">P1-0412</t>
  </si>
  <si>
    <t xml:space="preserve">Guidance_Accuracy!E112</t>
  </si>
  <si>
    <t xml:space="preserve">P1-0413</t>
  </si>
  <si>
    <t xml:space="preserve">Guidance_Accuracy!F112</t>
  </si>
  <si>
    <t xml:space="preserve">P1-0414</t>
  </si>
  <si>
    <t xml:space="preserve">Guidance_Accuracy!G112</t>
  </si>
  <si>
    <t xml:space="preserve">P1-0415</t>
  </si>
  <si>
    <t xml:space="preserve">Guidance_Accuracy!I112</t>
  </si>
  <si>
    <t xml:space="preserve">FY actual Free cash flow FY 2025</t>
  </si>
  <si>
    <t xml:space="preserve">P1-0416</t>
  </si>
  <si>
    <t xml:space="preserve">Guidance_Accuracy!D113</t>
  </si>
  <si>
    <t xml:space="preserve">P1-0417</t>
  </si>
  <si>
    <t xml:space="preserve">Guidance_Accuracy!E113</t>
  </si>
  <si>
    <t xml:space="preserve">P1-0418</t>
  </si>
  <si>
    <t xml:space="preserve">Guidance_Accuracy!F113</t>
  </si>
  <si>
    <t xml:space="preserve">P1-0419</t>
  </si>
  <si>
    <t xml:space="preserve">Guidance_Accuracy!G113</t>
  </si>
  <si>
    <t xml:space="preserve">P1-0420</t>
  </si>
  <si>
    <t xml:space="preserve">Guidance_Accuracy!I113</t>
  </si>
  <si>
    <t xml:space="preserve">FY actual Non-GAAP operating income (loss) FY 2025</t>
  </si>
  <si>
    <t xml:space="preserve">P1-0421</t>
  </si>
  <si>
    <t xml:space="preserve">Guidance_Accuracy!D114</t>
  </si>
  <si>
    <t xml:space="preserve">P1-0422</t>
  </si>
  <si>
    <t xml:space="preserve">Guidance_Accuracy!E114</t>
  </si>
  <si>
    <t xml:space="preserve">P1-0423</t>
  </si>
  <si>
    <t xml:space="preserve">Guidance_Accuracy!F114</t>
  </si>
  <si>
    <t xml:space="preserve">P1-0424</t>
  </si>
  <si>
    <t xml:space="preserve">Guidance_Accuracy!G114</t>
  </si>
  <si>
    <t xml:space="preserve">P1-0425</t>
  </si>
  <si>
    <t xml:space="preserve">Guidance_Accuracy!I114</t>
  </si>
  <si>
    <t xml:space="preserve">FY actual Revenue FY 2025</t>
  </si>
  <si>
    <t xml:space="preserve">P1-0426</t>
  </si>
  <si>
    <t xml:space="preserve">Guidance_Accuracy!D115</t>
  </si>
  <si>
    <t xml:space="preserve">P1-0427</t>
  </si>
  <si>
    <t xml:space="preserve">Guidance_Accuracy!E115</t>
  </si>
  <si>
    <t xml:space="preserve">P1-0428</t>
  </si>
  <si>
    <t xml:space="preserve">Guidance_Accuracy!F115</t>
  </si>
  <si>
    <t xml:space="preserve">P1-0429</t>
  </si>
  <si>
    <t xml:space="preserve">Guidance_Accuracy!G115</t>
  </si>
  <si>
    <t xml:space="preserve">P1-0430</t>
  </si>
  <si>
    <t xml:space="preserve">Guidance_Accuracy!I115</t>
  </si>
  <si>
    <t xml:space="preserve">FY actual Adjusted free cash flow FY 2025</t>
  </si>
  <si>
    <t xml:space="preserve">P1-0431</t>
  </si>
  <si>
    <t xml:space="preserve">Guidance_Accuracy!D116</t>
  </si>
  <si>
    <t xml:space="preserve">P1-0432</t>
  </si>
  <si>
    <t xml:space="preserve">Guidance_Accuracy!E116</t>
  </si>
  <si>
    <t xml:space="preserve">P1-0433</t>
  </si>
  <si>
    <t xml:space="preserve">Guidance_Accuracy!F116</t>
  </si>
  <si>
    <t xml:space="preserve">P1-0434</t>
  </si>
  <si>
    <t xml:space="preserve">Guidance_Accuracy!G116</t>
  </si>
  <si>
    <t xml:space="preserve">P1-0435</t>
  </si>
  <si>
    <t xml:space="preserve">Guidance_Accuracy!I116</t>
  </si>
  <si>
    <t xml:space="preserve">P1-0436</t>
  </si>
  <si>
    <t xml:space="preserve">Guidance_Accuracy!D117</t>
  </si>
  <si>
    <t xml:space="preserve">P1-0437</t>
  </si>
  <si>
    <t xml:space="preserve">Guidance_Accuracy!E117</t>
  </si>
  <si>
    <t xml:space="preserve">P1-0438</t>
  </si>
  <si>
    <t xml:space="preserve">Guidance_Accuracy!F117</t>
  </si>
  <si>
    <t xml:space="preserve">P1-0439</t>
  </si>
  <si>
    <t xml:space="preserve">Guidance_Accuracy!G117</t>
  </si>
  <si>
    <t xml:space="preserve">P1-0440</t>
  </si>
  <si>
    <t xml:space="preserve">Guidance_Accuracy!I117</t>
  </si>
  <si>
    <t xml:space="preserve">P1-0441</t>
  </si>
  <si>
    <t xml:space="preserve">Guidance_Accuracy!D118</t>
  </si>
  <si>
    <t xml:space="preserve">P1-0442</t>
  </si>
  <si>
    <t xml:space="preserve">Guidance_Accuracy!E118</t>
  </si>
  <si>
    <t xml:space="preserve">P1-0443</t>
  </si>
  <si>
    <t xml:space="preserve">Guidance_Accuracy!F118</t>
  </si>
  <si>
    <t xml:space="preserve">P1-0444</t>
  </si>
  <si>
    <t xml:space="preserve">Guidance_Accuracy!G118</t>
  </si>
  <si>
    <t xml:space="preserve">P1-0445</t>
  </si>
  <si>
    <t xml:space="preserve">Guidance_Accuracy!I118</t>
  </si>
  <si>
    <t xml:space="preserve">P1-0446</t>
  </si>
  <si>
    <t xml:space="preserve">Guidance_Accuracy!D119</t>
  </si>
  <si>
    <t xml:space="preserve">P1-0447</t>
  </si>
  <si>
    <t xml:space="preserve">Guidance_Accuracy!E119</t>
  </si>
  <si>
    <t xml:space="preserve">P1-0448</t>
  </si>
  <si>
    <t xml:space="preserve">Guidance_Accuracy!F119</t>
  </si>
  <si>
    <t xml:space="preserve">P1-0449</t>
  </si>
  <si>
    <t xml:space="preserve">Guidance_Accuracy!G119</t>
  </si>
  <si>
    <t xml:space="preserve">P1-0450</t>
  </si>
  <si>
    <t xml:space="preserve">Guidance_Accuracy!I119</t>
  </si>
  <si>
    <t xml:space="preserve">P1-0451</t>
  </si>
  <si>
    <t xml:space="preserve">Guidance_Accuracy!D120</t>
  </si>
  <si>
    <t xml:space="preserve">P1-0452</t>
  </si>
  <si>
    <t xml:space="preserve">Guidance_Accuracy!E120</t>
  </si>
  <si>
    <t xml:space="preserve">P1-0453</t>
  </si>
  <si>
    <t xml:space="preserve">Guidance_Accuracy!F120</t>
  </si>
  <si>
    <t xml:space="preserve">P1-0454</t>
  </si>
  <si>
    <t xml:space="preserve">Guidance_Accuracy!G120</t>
  </si>
  <si>
    <t xml:space="preserve">P1-0455</t>
  </si>
  <si>
    <t xml:space="preserve">Guidance_Accuracy!I120</t>
  </si>
  <si>
    <t xml:space="preserve">P1-0456</t>
  </si>
  <si>
    <t xml:space="preserve">Guidance_Accuracy!D121</t>
  </si>
  <si>
    <t xml:space="preserve">P1-0457</t>
  </si>
  <si>
    <t xml:space="preserve">Guidance_Accuracy!E121</t>
  </si>
  <si>
    <t xml:space="preserve">P1-0458</t>
  </si>
  <si>
    <t xml:space="preserve">Guidance_Accuracy!F121</t>
  </si>
  <si>
    <t xml:space="preserve">P1-0459</t>
  </si>
  <si>
    <t xml:space="preserve">Guidance_Accuracy!G121</t>
  </si>
  <si>
    <t xml:space="preserve">P1-0460</t>
  </si>
  <si>
    <t xml:space="preserve">Guidance_Accuracy!I121</t>
  </si>
  <si>
    <t xml:space="preserve">P1-0461</t>
  </si>
  <si>
    <t xml:space="preserve">Guidance_Accuracy!D122</t>
  </si>
  <si>
    <t xml:space="preserve">P1-0462</t>
  </si>
  <si>
    <t xml:space="preserve">Guidance_Accuracy!E122</t>
  </si>
  <si>
    <t xml:space="preserve">P1-0463</t>
  </si>
  <si>
    <t xml:space="preserve">Guidance_Accuracy!F122</t>
  </si>
  <si>
    <t xml:space="preserve">P1-0464</t>
  </si>
  <si>
    <t xml:space="preserve">Guidance_Accuracy!G122</t>
  </si>
  <si>
    <t xml:space="preserve">P1-0465</t>
  </si>
  <si>
    <t xml:space="preserve">Guidance_Accuracy!I122</t>
  </si>
  <si>
    <t xml:space="preserve">P1-0466</t>
  </si>
  <si>
    <t xml:space="preserve">Guidance_Accuracy!D123</t>
  </si>
  <si>
    <t xml:space="preserve">P1-0467</t>
  </si>
  <si>
    <t xml:space="preserve">Guidance_Accuracy!E123</t>
  </si>
  <si>
    <t xml:space="preserve">P1-0468</t>
  </si>
  <si>
    <t xml:space="preserve">Guidance_Accuracy!F123</t>
  </si>
  <si>
    <t xml:space="preserve">P1-0469</t>
  </si>
  <si>
    <t xml:space="preserve">Guidance_Accuracy!G123</t>
  </si>
  <si>
    <t xml:space="preserve">P1-0470</t>
  </si>
  <si>
    <t xml:space="preserve">Guidance_Accuracy!I123</t>
  </si>
  <si>
    <t xml:space="preserve">P1-0471</t>
  </si>
  <si>
    <t xml:space="preserve">Guidance_Accuracy!B129</t>
  </si>
  <si>
    <t xml:space="preserve">FY2026 inventory</t>
  </si>
  <si>
    <t xml:space="preserve">P1-0472</t>
  </si>
  <si>
    <t xml:space="preserve">Guidance_Accuracy!C129</t>
  </si>
  <si>
    <t xml:space="preserve">P1-0473</t>
  </si>
  <si>
    <t xml:space="preserve">Guidance_Accuracy!D129</t>
  </si>
  <si>
    <t xml:space="preserve">P1-0474</t>
  </si>
  <si>
    <t xml:space="preserve">Guidance_Accuracy!E129</t>
  </si>
  <si>
    <t xml:space="preserve">P1-0475</t>
  </si>
  <si>
    <t xml:space="preserve">Guidance_Accuracy!H129</t>
  </si>
  <si>
    <t xml:space="preserve">P1-0476</t>
  </si>
  <si>
    <t xml:space="preserve">Guidance_Accuracy!F129</t>
  </si>
  <si>
    <t xml:space="preserve">FY2026 inventory low</t>
  </si>
  <si>
    <t xml:space="preserve">P1-0477</t>
  </si>
  <si>
    <t xml:space="preserve">Guidance_Accuracy!G129</t>
  </si>
  <si>
    <t xml:space="preserve">FY2026 inventory high</t>
  </si>
  <si>
    <t xml:space="preserve">P1-0478</t>
  </si>
  <si>
    <t xml:space="preserve">Guidance_Accuracy!B130</t>
  </si>
  <si>
    <t xml:space="preserve">P1-0479</t>
  </si>
  <si>
    <t xml:space="preserve">Guidance_Accuracy!C130</t>
  </si>
  <si>
    <t xml:space="preserve">P1-0480</t>
  </si>
  <si>
    <t xml:space="preserve">Guidance_Accuracy!D130</t>
  </si>
  <si>
    <t xml:space="preserve">P1-0481</t>
  </si>
  <si>
    <t xml:space="preserve">Guidance_Accuracy!E130</t>
  </si>
  <si>
    <t xml:space="preserve">P1-0482</t>
  </si>
  <si>
    <t xml:space="preserve">Guidance_Accuracy!H130</t>
  </si>
  <si>
    <t xml:space="preserve">P1-0483</t>
  </si>
  <si>
    <t xml:space="preserve">Guidance_Accuracy!F130</t>
  </si>
  <si>
    <t xml:space="preserve">P1-0484</t>
  </si>
  <si>
    <t xml:space="preserve">Guidance_Accuracy!G130</t>
  </si>
  <si>
    <t xml:space="preserve">P1-0485</t>
  </si>
  <si>
    <t xml:space="preserve">Guidance_Accuracy!B131</t>
  </si>
  <si>
    <t xml:space="preserve">P1-0486</t>
  </si>
  <si>
    <t xml:space="preserve">Guidance_Accuracy!C131</t>
  </si>
  <si>
    <t xml:space="preserve">P1-0487</t>
  </si>
  <si>
    <t xml:space="preserve">Guidance_Accuracy!D131</t>
  </si>
  <si>
    <t xml:space="preserve">P1-0488</t>
  </si>
  <si>
    <t xml:space="preserve">Guidance_Accuracy!E131</t>
  </si>
  <si>
    <t xml:space="preserve">P1-0489</t>
  </si>
  <si>
    <t xml:space="preserve">Guidance_Accuracy!H131</t>
  </si>
  <si>
    <t xml:space="preserve">P1-0490</t>
  </si>
  <si>
    <t xml:space="preserve">Guidance_Accuracy!F131</t>
  </si>
  <si>
    <t xml:space="preserve">P1-0491</t>
  </si>
  <si>
    <t xml:space="preserve">Guidance_Accuracy!G131</t>
  </si>
  <si>
    <t xml:space="preserve">P1-0492</t>
  </si>
  <si>
    <t xml:space="preserve">Guidance_Accuracy!B132</t>
  </si>
  <si>
    <t xml:space="preserve">P1-0493</t>
  </si>
  <si>
    <t xml:space="preserve">Guidance_Accuracy!C132</t>
  </si>
  <si>
    <t xml:space="preserve">P1-0494</t>
  </si>
  <si>
    <t xml:space="preserve">Guidance_Accuracy!D132</t>
  </si>
  <si>
    <t xml:space="preserve">P1-0495</t>
  </si>
  <si>
    <t xml:space="preserve">Guidance_Accuracy!E132</t>
  </si>
  <si>
    <t xml:space="preserve">P1-0496</t>
  </si>
  <si>
    <t xml:space="preserve">Guidance_Accuracy!H132</t>
  </si>
  <si>
    <t xml:space="preserve">P1-0497</t>
  </si>
  <si>
    <t xml:space="preserve">Guidance_Accuracy!F132</t>
  </si>
  <si>
    <t xml:space="preserve">P1-0498</t>
  </si>
  <si>
    <t xml:space="preserve">Guidance_Accuracy!G132</t>
  </si>
  <si>
    <t xml:space="preserve">P1-0499</t>
  </si>
  <si>
    <t xml:space="preserve">Guidance_Accuracy!B133</t>
  </si>
  <si>
    <t xml:space="preserve">P1-0500</t>
  </si>
  <si>
    <t xml:space="preserve">Guidance_Accuracy!C133</t>
  </si>
  <si>
    <t xml:space="preserve">P1-0501</t>
  </si>
  <si>
    <t xml:space="preserve">Guidance_Accuracy!D133</t>
  </si>
  <si>
    <t xml:space="preserve">P1-0502</t>
  </si>
  <si>
    <t xml:space="preserve">Guidance_Accuracy!E133</t>
  </si>
  <si>
    <t xml:space="preserve">P1-0503</t>
  </si>
  <si>
    <t xml:space="preserve">Guidance_Accuracy!H133</t>
  </si>
  <si>
    <t xml:space="preserve">P1-0504</t>
  </si>
  <si>
    <t xml:space="preserve">Guidance_Accuracy!F133</t>
  </si>
  <si>
    <t xml:space="preserve">P1-0505</t>
  </si>
  <si>
    <t xml:space="preserve">Guidance_Accuracy!G133</t>
  </si>
  <si>
    <t xml:space="preserve">P1-0506</t>
  </si>
  <si>
    <t xml:space="preserve">Guidance_Accuracy!B134</t>
  </si>
  <si>
    <t xml:space="preserve">P1-0507</t>
  </si>
  <si>
    <t xml:space="preserve">Guidance_Accuracy!C134</t>
  </si>
  <si>
    <t xml:space="preserve">P1-0508</t>
  </si>
  <si>
    <t xml:space="preserve">Guidance_Accuracy!D134</t>
  </si>
  <si>
    <t xml:space="preserve">P1-0509</t>
  </si>
  <si>
    <t xml:space="preserve">Guidance_Accuracy!E134</t>
  </si>
  <si>
    <t xml:space="preserve">P1-0510</t>
  </si>
  <si>
    <t xml:space="preserve">Guidance_Accuracy!H134</t>
  </si>
  <si>
    <t xml:space="preserve">P1-0511</t>
  </si>
  <si>
    <t xml:space="preserve">Guidance_Accuracy!F134</t>
  </si>
  <si>
    <t xml:space="preserve">P1-0512</t>
  </si>
  <si>
    <t xml:space="preserve">Guidance_Accuracy!G134</t>
  </si>
  <si>
    <t xml:space="preserve">P1-0513</t>
  </si>
  <si>
    <t xml:space="preserve">Guidance_Accuracy!B135</t>
  </si>
  <si>
    <t xml:space="preserve">P1-0514</t>
  </si>
  <si>
    <t xml:space="preserve">Guidance_Accuracy!C135</t>
  </si>
  <si>
    <t xml:space="preserve">P1-0515</t>
  </si>
  <si>
    <t xml:space="preserve">Guidance_Accuracy!D135</t>
  </si>
  <si>
    <t xml:space="preserve">P1-0516</t>
  </si>
  <si>
    <t xml:space="preserve">Guidance_Accuracy!E135</t>
  </si>
  <si>
    <t xml:space="preserve">P1-0517</t>
  </si>
  <si>
    <t xml:space="preserve">Guidance_Accuracy!H135</t>
  </si>
  <si>
    <t xml:space="preserve">P1-0518</t>
  </si>
  <si>
    <t xml:space="preserve">Guidance_Accuracy!F135</t>
  </si>
  <si>
    <t xml:space="preserve">P1-0519</t>
  </si>
  <si>
    <t xml:space="preserve">Guidance_Accuracy!G135</t>
  </si>
  <si>
    <t xml:space="preserve">P1-0520</t>
  </si>
  <si>
    <t xml:space="preserve">Guidance_Accuracy!B136</t>
  </si>
  <si>
    <t xml:space="preserve">P1-0521</t>
  </si>
  <si>
    <t xml:space="preserve">Guidance_Accuracy!C136</t>
  </si>
  <si>
    <t xml:space="preserve">P1-0522</t>
  </si>
  <si>
    <t xml:space="preserve">Guidance_Accuracy!D136</t>
  </si>
  <si>
    <t xml:space="preserve">P1-0523</t>
  </si>
  <si>
    <t xml:space="preserve">Guidance_Accuracy!E136</t>
  </si>
  <si>
    <t xml:space="preserve">P1-0524</t>
  </si>
  <si>
    <t xml:space="preserve">Guidance_Accuracy!H136</t>
  </si>
  <si>
    <t xml:space="preserve">P1-0525</t>
  </si>
  <si>
    <t xml:space="preserve">Guidance_Accuracy!F136</t>
  </si>
  <si>
    <t xml:space="preserve">P1-0526</t>
  </si>
  <si>
    <t xml:space="preserve">Guidance_Accuracy!G136</t>
  </si>
  <si>
    <t xml:space="preserve">P1-0527</t>
  </si>
  <si>
    <t xml:space="preserve">Guidance_Accuracy!B137</t>
  </si>
  <si>
    <t xml:space="preserve">P1-0528</t>
  </si>
  <si>
    <t xml:space="preserve">Guidance_Accuracy!C137</t>
  </si>
  <si>
    <t xml:space="preserve">P1-0529</t>
  </si>
  <si>
    <t xml:space="preserve">Guidance_Accuracy!D137</t>
  </si>
  <si>
    <t xml:space="preserve">P1-0530</t>
  </si>
  <si>
    <t xml:space="preserve">Guidance_Accuracy!E137</t>
  </si>
  <si>
    <t xml:space="preserve">P1-0531</t>
  </si>
  <si>
    <t xml:space="preserve">Guidance_Accuracy!H137</t>
  </si>
  <si>
    <t xml:space="preserve">P1-0532</t>
  </si>
  <si>
    <t xml:space="preserve">Guidance_Accuracy!F137</t>
  </si>
  <si>
    <t xml:space="preserve">P1-0533</t>
  </si>
  <si>
    <t xml:space="preserve">Guidance_Accuracy!G137</t>
  </si>
  <si>
    <t xml:space="preserve">P1-0534</t>
  </si>
  <si>
    <t xml:space="preserve">Guidance_Accuracy!B138</t>
  </si>
  <si>
    <t xml:space="preserve">P1-0535</t>
  </si>
  <si>
    <t xml:space="preserve">Guidance_Accuracy!C138</t>
  </si>
  <si>
    <t xml:space="preserve">P1-0536</t>
  </si>
  <si>
    <t xml:space="preserve">Guidance_Accuracy!D138</t>
  </si>
  <si>
    <t xml:space="preserve">P1-0537</t>
  </si>
  <si>
    <t xml:space="preserve">Guidance_Accuracy!E138</t>
  </si>
  <si>
    <t xml:space="preserve">P1-0538</t>
  </si>
  <si>
    <t xml:space="preserve">Guidance_Accuracy!H138</t>
  </si>
  <si>
    <t xml:space="preserve">P1-0539</t>
  </si>
  <si>
    <t xml:space="preserve">Guidance_Accuracy!F138</t>
  </si>
  <si>
    <t xml:space="preserve">P1-0540</t>
  </si>
  <si>
    <t xml:space="preserve">Guidance_Accuracy!G138</t>
  </si>
  <si>
    <t xml:space="preserve">P1-0541</t>
  </si>
  <si>
    <t xml:space="preserve">Guidance_Accuracy!B139</t>
  </si>
  <si>
    <t xml:space="preserve">P1-0542</t>
  </si>
  <si>
    <t xml:space="preserve">Guidance_Accuracy!C139</t>
  </si>
  <si>
    <t xml:space="preserve">P1-0543</t>
  </si>
  <si>
    <t xml:space="preserve">Guidance_Accuracy!D139</t>
  </si>
  <si>
    <t xml:space="preserve">P1-0544</t>
  </si>
  <si>
    <t xml:space="preserve">Guidance_Accuracy!E139</t>
  </si>
  <si>
    <t xml:space="preserve">P1-0545</t>
  </si>
  <si>
    <t xml:space="preserve">Guidance_Accuracy!H139</t>
  </si>
  <si>
    <t xml:space="preserve">P1-0546</t>
  </si>
  <si>
    <t xml:space="preserve">Guidance_Accuracy!F139</t>
  </si>
  <si>
    <t xml:space="preserve">P1-0547</t>
  </si>
  <si>
    <t xml:space="preserve">Guidance_Accuracy!G139</t>
  </si>
  <si>
    <t xml:space="preserve">P1-0548</t>
  </si>
  <si>
    <t xml:space="preserve">Guidance_Accuracy!B140</t>
  </si>
  <si>
    <t xml:space="preserve">P1-0549</t>
  </si>
  <si>
    <t xml:space="preserve">Guidance_Accuracy!C140</t>
  </si>
  <si>
    <t xml:space="preserve">P1-0550</t>
  </si>
  <si>
    <t xml:space="preserve">Guidance_Accuracy!D140</t>
  </si>
  <si>
    <t xml:space="preserve">P1-0551</t>
  </si>
  <si>
    <t xml:space="preserve">Guidance_Accuracy!E140</t>
  </si>
  <si>
    <t xml:space="preserve">P1-0552</t>
  </si>
  <si>
    <t xml:space="preserve">Guidance_Accuracy!H140</t>
  </si>
  <si>
    <t xml:space="preserve">P1-0553</t>
  </si>
  <si>
    <t xml:space="preserve">Guidance_Accuracy!F140</t>
  </si>
  <si>
    <t xml:space="preserve">P1-0554</t>
  </si>
  <si>
    <t xml:space="preserve">Guidance_Accuracy!G140</t>
  </si>
  <si>
    <t xml:space="preserve">P1-0555</t>
  </si>
  <si>
    <t xml:space="preserve">Guidance_Accuracy!B141</t>
  </si>
  <si>
    <t xml:space="preserve">P1-0556</t>
  </si>
  <si>
    <t xml:space="preserve">Guidance_Accuracy!C141</t>
  </si>
  <si>
    <t xml:space="preserve">P1-0557</t>
  </si>
  <si>
    <t xml:space="preserve">Guidance_Accuracy!D141</t>
  </si>
  <si>
    <t xml:space="preserve">P1-0558</t>
  </si>
  <si>
    <t xml:space="preserve">Guidance_Accuracy!E141</t>
  </si>
  <si>
    <t xml:space="preserve">P1-0559</t>
  </si>
  <si>
    <t xml:space="preserve">Guidance_Accuracy!H141</t>
  </si>
  <si>
    <t xml:space="preserve">P1-0560</t>
  </si>
  <si>
    <t xml:space="preserve">Guidance_Accuracy!F141</t>
  </si>
  <si>
    <t xml:space="preserve">P1-0561</t>
  </si>
  <si>
    <t xml:space="preserve">Guidance_Accuracy!G141</t>
  </si>
  <si>
    <t xml:space="preserve">P1-0562</t>
  </si>
  <si>
    <t xml:space="preserve">Guidance_Accuracy!B142</t>
  </si>
  <si>
    <t xml:space="preserve">P1-0563</t>
  </si>
  <si>
    <t xml:space="preserve">Guidance_Accuracy!C142</t>
  </si>
  <si>
    <t xml:space="preserve">P1-0564</t>
  </si>
  <si>
    <t xml:space="preserve">Guidance_Accuracy!D142</t>
  </si>
  <si>
    <t xml:space="preserve">P1-0565</t>
  </si>
  <si>
    <t xml:space="preserve">Guidance_Accuracy!E142</t>
  </si>
  <si>
    <t xml:space="preserve">P1-0566</t>
  </si>
  <si>
    <t xml:space="preserve">Guidance_Accuracy!H142</t>
  </si>
  <si>
    <t xml:space="preserve">P1-0567</t>
  </si>
  <si>
    <t xml:space="preserve">Guidance_Accuracy!F142</t>
  </si>
  <si>
    <t xml:space="preserve">P1-0568</t>
  </si>
  <si>
    <t xml:space="preserve">Guidance_Accuracy!G142</t>
  </si>
  <si>
    <t xml:space="preserve">P1-0569</t>
  </si>
  <si>
    <t xml:space="preserve">Guidance_Accuracy!B143</t>
  </si>
  <si>
    <t xml:space="preserve">P1-0570</t>
  </si>
  <si>
    <t xml:space="preserve">Guidance_Accuracy!C143</t>
  </si>
  <si>
    <t xml:space="preserve">P1-0571</t>
  </si>
  <si>
    <t xml:space="preserve">Guidance_Accuracy!D143</t>
  </si>
  <si>
    <t xml:space="preserve">P1-0572</t>
  </si>
  <si>
    <t xml:space="preserve">Guidance_Accuracy!E143</t>
  </si>
  <si>
    <t xml:space="preserve">P1-0573</t>
  </si>
  <si>
    <t xml:space="preserve">Guidance_Accuracy!H143</t>
  </si>
  <si>
    <t xml:space="preserve">P1-0574</t>
  </si>
  <si>
    <t xml:space="preserve">Guidance_Accuracy!F143</t>
  </si>
  <si>
    <t xml:space="preserve">P1-0575</t>
  </si>
  <si>
    <t xml:space="preserve">Guidance_Accuracy!G143</t>
  </si>
  <si>
    <t xml:space="preserve">P1-0576</t>
  </si>
  <si>
    <t xml:space="preserve">Guidance_Accuracy!B144</t>
  </si>
  <si>
    <t xml:space="preserve">P1-0577</t>
  </si>
  <si>
    <t xml:space="preserve">Guidance_Accuracy!C144</t>
  </si>
  <si>
    <t xml:space="preserve">P1-0578</t>
  </si>
  <si>
    <t xml:space="preserve">Guidance_Accuracy!D144</t>
  </si>
  <si>
    <t xml:space="preserve">P1-0579</t>
  </si>
  <si>
    <t xml:space="preserve">Guidance_Accuracy!E144</t>
  </si>
  <si>
    <t xml:space="preserve">P1-0580</t>
  </si>
  <si>
    <t xml:space="preserve">Guidance_Accuracy!H144</t>
  </si>
  <si>
    <t xml:space="preserve">P1-0581</t>
  </si>
  <si>
    <t xml:space="preserve">Guidance_Accuracy!F144</t>
  </si>
  <si>
    <t xml:space="preserve">P1-0582</t>
  </si>
  <si>
    <t xml:space="preserve">Guidance_Accuracy!G144</t>
  </si>
  <si>
    <t xml:space="preserve">P1-0583</t>
  </si>
  <si>
    <t xml:space="preserve">Guidance_Accuracy!B145</t>
  </si>
  <si>
    <t xml:space="preserve">P1-0584</t>
  </si>
  <si>
    <t xml:space="preserve">Guidance_Accuracy!C145</t>
  </si>
  <si>
    <t xml:space="preserve">P1-0585</t>
  </si>
  <si>
    <t xml:space="preserve">Guidance_Accuracy!D145</t>
  </si>
  <si>
    <t xml:space="preserve">P1-0586</t>
  </si>
  <si>
    <t xml:space="preserve">Guidance_Accuracy!E145</t>
  </si>
  <si>
    <t xml:space="preserve">P1-0587</t>
  </si>
  <si>
    <t xml:space="preserve">Guidance_Accuracy!H145</t>
  </si>
  <si>
    <t xml:space="preserve">P1-0588</t>
  </si>
  <si>
    <t xml:space="preserve">Guidance_Accuracy!F145</t>
  </si>
  <si>
    <t xml:space="preserve">P1-0589</t>
  </si>
  <si>
    <t xml:space="preserve">Guidance_Accuracy!G145</t>
  </si>
  <si>
    <t xml:space="preserve">P1-0590</t>
  </si>
  <si>
    <t xml:space="preserve">Guidance_Accuracy!B146</t>
  </si>
  <si>
    <t xml:space="preserve">P1-0591</t>
  </si>
  <si>
    <t xml:space="preserve">Guidance_Accuracy!C146</t>
  </si>
  <si>
    <t xml:space="preserve">P1-0592</t>
  </si>
  <si>
    <t xml:space="preserve">Guidance_Accuracy!D146</t>
  </si>
  <si>
    <t xml:space="preserve">P1-0593</t>
  </si>
  <si>
    <t xml:space="preserve">Guidance_Accuracy!E146</t>
  </si>
  <si>
    <t xml:space="preserve">P1-0594</t>
  </si>
  <si>
    <t xml:space="preserve">Guidance_Accuracy!H146</t>
  </si>
  <si>
    <t xml:space="preserve">P1-0595</t>
  </si>
  <si>
    <t xml:space="preserve">Guidance_Accuracy!F146</t>
  </si>
  <si>
    <t xml:space="preserve">P1-0596</t>
  </si>
  <si>
    <t xml:space="preserve">Guidance_Accuracy!G146</t>
  </si>
  <si>
    <t xml:space="preserve">P1-0597</t>
  </si>
  <si>
    <t xml:space="preserve">Growth_Decomposition!B6</t>
  </si>
  <si>
    <t xml:space="preserve">Revenue Q1 2021</t>
  </si>
  <si>
    <t xml:space="preserve">P1-0598</t>
  </si>
  <si>
    <t xml:space="preserve">Growth_Decomposition!W6</t>
  </si>
  <si>
    <t xml:space="preserve">Customers &gt;$50k ARR Q1 2021</t>
  </si>
  <si>
    <t xml:space="preserve">P1-0599</t>
  </si>
  <si>
    <t xml:space="preserve">Growth_Decomposition!AL6</t>
  </si>
  <si>
    <t xml:space="preserve">ARR share &gt;$50k Q1 2021</t>
  </si>
  <si>
    <t xml:space="preserve">P1-0600</t>
  </si>
  <si>
    <t xml:space="preserve">Growth_Decomposition!B7</t>
  </si>
  <si>
    <t xml:space="preserve">Revenue Q2 2021</t>
  </si>
  <si>
    <t xml:space="preserve">P1-0601</t>
  </si>
  <si>
    <t xml:space="preserve">Growth_Decomposition!J7</t>
  </si>
  <si>
    <t xml:space="preserve">QA-1353</t>
  </si>
  <si>
    <t xml:space="preserve">NDR - &gt;10 users Q2 2021</t>
  </si>
  <si>
    <t xml:space="preserve">P1-0602</t>
  </si>
  <si>
    <t xml:space="preserve">Growth_Decomposition!W7</t>
  </si>
  <si>
    <t xml:space="preserve">Customers &gt;$50k ARR Q2 2021</t>
  </si>
  <si>
    <t xml:space="preserve">P1-0603</t>
  </si>
  <si>
    <t xml:space="preserve">Growth_Decomposition!B8</t>
  </si>
  <si>
    <t xml:space="preserve">Revenue Q3 2021</t>
  </si>
  <si>
    <t xml:space="preserve">P1-0604</t>
  </si>
  <si>
    <t xml:space="preserve">Growth_Decomposition!J8</t>
  </si>
  <si>
    <t xml:space="preserve">QA-1354</t>
  </si>
  <si>
    <t xml:space="preserve">NDR - &gt;10 users Q3 2021</t>
  </si>
  <si>
    <t xml:space="preserve">P1-0605</t>
  </si>
  <si>
    <t xml:space="preserve">Growth_Decomposition!W8</t>
  </si>
  <si>
    <t xml:space="preserve">Customers &gt;$50k ARR Q3 2021</t>
  </si>
  <si>
    <t xml:space="preserve">P1-0606</t>
  </si>
  <si>
    <t xml:space="preserve">Growth_Decomposition!B9</t>
  </si>
  <si>
    <t xml:space="preserve">Revenue Q4 2021</t>
  </si>
  <si>
    <t xml:space="preserve">P1-0607</t>
  </si>
  <si>
    <t xml:space="preserve">Growth_Decomposition!G9</t>
  </si>
  <si>
    <t xml:space="preserve">QA-1302</t>
  </si>
  <si>
    <t xml:space="preserve">NDR - all customers Q4 2021</t>
  </si>
  <si>
    <t xml:space="preserve">P1-0608</t>
  </si>
  <si>
    <t xml:space="preserve">Growth_Decomposition!J9</t>
  </si>
  <si>
    <t xml:space="preserve">QA-1355</t>
  </si>
  <si>
    <t xml:space="preserve">NDR - &gt;10 users Q4 2021</t>
  </si>
  <si>
    <t xml:space="preserve">P1-0609</t>
  </si>
  <si>
    <t xml:space="preserve">Growth_Decomposition!W9</t>
  </si>
  <si>
    <t xml:space="preserve">Customers &gt;$50k ARR Q4 2021</t>
  </si>
  <si>
    <t xml:space="preserve">P1-0610</t>
  </si>
  <si>
    <t xml:space="preserve">Growth_Decomposition!AI9</t>
  </si>
  <si>
    <t xml:space="preserve">ARR share &gt;10 users Q4 2021</t>
  </si>
  <si>
    <t xml:space="preserve">P1-0611</t>
  </si>
  <si>
    <t xml:space="preserve">Growth_Decomposition!B10</t>
  </si>
  <si>
    <t xml:space="preserve">Revenue Q1 2022</t>
  </si>
  <si>
    <t xml:space="preserve">P1-0612</t>
  </si>
  <si>
    <t xml:space="preserve">Growth_Decomposition!G10</t>
  </si>
  <si>
    <t xml:space="preserve">QA-1303</t>
  </si>
  <si>
    <t xml:space="preserve">NDR - all customers Q1 2022</t>
  </si>
  <si>
    <t xml:space="preserve">P1-0613</t>
  </si>
  <si>
    <t xml:space="preserve">Growth_Decomposition!J10</t>
  </si>
  <si>
    <t xml:space="preserve">QA-1356</t>
  </si>
  <si>
    <t xml:space="preserve">NDR - &gt;10 users Q1 2022</t>
  </si>
  <si>
    <t xml:space="preserve">P1-0614</t>
  </si>
  <si>
    <t xml:space="preserve">Growth_Decomposition!M10</t>
  </si>
  <si>
    <t xml:space="preserve">QA-1334</t>
  </si>
  <si>
    <t xml:space="preserve">NDR - &gt;$50k ARR Q1 2022</t>
  </si>
  <si>
    <t xml:space="preserve">P1-0615</t>
  </si>
  <si>
    <t xml:space="preserve">Growth_Decomposition!W10</t>
  </si>
  <si>
    <t xml:space="preserve">Customers &gt;$50k ARR Q1 2022</t>
  </si>
  <si>
    <t xml:space="preserve">P1-0616</t>
  </si>
  <si>
    <t xml:space="preserve">Growth_Decomposition!AL10</t>
  </si>
  <si>
    <t xml:space="preserve">ARR share &gt;$50k Q1 2022</t>
  </si>
  <si>
    <t xml:space="preserve">P1-0617</t>
  </si>
  <si>
    <t xml:space="preserve">Growth_Decomposition!B11</t>
  </si>
  <si>
    <t xml:space="preserve">Revenue Q2 2022</t>
  </si>
  <si>
    <t xml:space="preserve">P1-0618</t>
  </si>
  <si>
    <t xml:space="preserve">Growth_Decomposition!G11</t>
  </si>
  <si>
    <t xml:space="preserve">QA-1304</t>
  </si>
  <si>
    <t xml:space="preserve">NDR - all customers Q2 2022</t>
  </si>
  <si>
    <t xml:space="preserve">P1-0619</t>
  </si>
  <si>
    <t xml:space="preserve">Growth_Decomposition!J11</t>
  </si>
  <si>
    <t xml:space="preserve">QA-1357</t>
  </si>
  <si>
    <t xml:space="preserve">NDR - &gt;10 users Q2 2022</t>
  </si>
  <si>
    <t xml:space="preserve">P1-0620</t>
  </si>
  <si>
    <t xml:space="preserve">Growth_Decomposition!M11</t>
  </si>
  <si>
    <t xml:space="preserve">QA-1335</t>
  </si>
  <si>
    <t xml:space="preserve">NDR - &gt;$50k ARR Q2 2022</t>
  </si>
  <si>
    <t xml:space="preserve">P1-0621</t>
  </si>
  <si>
    <t xml:space="preserve">Growth_Decomposition!W11</t>
  </si>
  <si>
    <t xml:space="preserve">Customers &gt;$50k ARR Q2 2022</t>
  </si>
  <si>
    <t xml:space="preserve">P1-0622</t>
  </si>
  <si>
    <t xml:space="preserve">Growth_Decomposition!B12</t>
  </si>
  <si>
    <t xml:space="preserve">Revenue Q3 2022</t>
  </si>
  <si>
    <t xml:space="preserve">P1-0623</t>
  </si>
  <si>
    <t xml:space="preserve">Growth_Decomposition!G12</t>
  </si>
  <si>
    <t xml:space="preserve">QA-1305</t>
  </si>
  <si>
    <t xml:space="preserve">NDR - all customers Q3 2022</t>
  </si>
  <si>
    <t xml:space="preserve">P1-0624</t>
  </si>
  <si>
    <t xml:space="preserve">Growth_Decomposition!J12</t>
  </si>
  <si>
    <t xml:space="preserve">QA-1358</t>
  </si>
  <si>
    <t xml:space="preserve">NDR - &gt;10 users Q3 2022</t>
  </si>
  <si>
    <t xml:space="preserve">P1-0625</t>
  </si>
  <si>
    <t xml:space="preserve">Growth_Decomposition!M12</t>
  </si>
  <si>
    <t xml:space="preserve">QA-1336</t>
  </si>
  <si>
    <t xml:space="preserve">NDR - &gt;$50k ARR Q3 2022</t>
  </si>
  <si>
    <t xml:space="preserve">P1-0626</t>
  </si>
  <si>
    <t xml:space="preserve">Growth_Decomposition!W12</t>
  </si>
  <si>
    <t xml:space="preserve">Customers &gt;$50k ARR Q3 2022</t>
  </si>
  <si>
    <t xml:space="preserve">P1-0627</t>
  </si>
  <si>
    <t xml:space="preserve">Growth_Decomposition!B13</t>
  </si>
  <si>
    <t xml:space="preserve">Revenue Q4 2022</t>
  </si>
  <si>
    <t xml:space="preserve">P1-0628</t>
  </si>
  <si>
    <t xml:space="preserve">Growth_Decomposition!G13</t>
  </si>
  <si>
    <t xml:space="preserve">NDR - all customers Q4 2022</t>
  </si>
  <si>
    <t xml:space="preserve">P1-0629</t>
  </si>
  <si>
    <t xml:space="preserve">Growth_Decomposition!J13</t>
  </si>
  <si>
    <t xml:space="preserve">NDR - &gt;10 users Q4 2022</t>
  </si>
  <si>
    <t xml:space="preserve">P1-0630</t>
  </si>
  <si>
    <t xml:space="preserve">Growth_Decomposition!M13</t>
  </si>
  <si>
    <t xml:space="preserve">NDR - &gt;$50k ARR Q4 2022</t>
  </si>
  <si>
    <t xml:space="preserve">P1-0631</t>
  </si>
  <si>
    <t xml:space="preserve">Growth_Decomposition!P13</t>
  </si>
  <si>
    <t xml:space="preserve">NDR - &gt;$100k ARR Q4 2022</t>
  </si>
  <si>
    <t xml:space="preserve">P1-0632</t>
  </si>
  <si>
    <t xml:space="preserve">Growth_Decomposition!W13</t>
  </si>
  <si>
    <t xml:space="preserve">Customers &gt;$50k ARR Q4 2022</t>
  </si>
  <si>
    <t xml:space="preserve">P1-0633</t>
  </si>
  <si>
    <t xml:space="preserve">Growth_Decomposition!AA13</t>
  </si>
  <si>
    <t xml:space="preserve">Customers &gt;$100k ARR Q4 2022</t>
  </si>
  <si>
    <t xml:space="preserve">P1-0634</t>
  </si>
  <si>
    <t xml:space="preserve">Growth_Decomposition!B14</t>
  </si>
  <si>
    <t xml:space="preserve">Revenue Q1 2023</t>
  </si>
  <si>
    <t xml:space="preserve">P1-0635</t>
  </si>
  <si>
    <t xml:space="preserve">Growth_Decomposition!G14</t>
  </si>
  <si>
    <t xml:space="preserve">QA-1307</t>
  </si>
  <si>
    <t xml:space="preserve">NDR - all customers Q1 2023</t>
  </si>
  <si>
    <t xml:space="preserve">P1-0636</t>
  </si>
  <si>
    <t xml:space="preserve">Growth_Decomposition!J14</t>
  </si>
  <si>
    <t xml:space="preserve">QA-1360</t>
  </si>
  <si>
    <t xml:space="preserve">NDR - &gt;10 users Q1 2023</t>
  </si>
  <si>
    <t xml:space="preserve">P1-0637</t>
  </si>
  <si>
    <t xml:space="preserve">Growth_Decomposition!M14</t>
  </si>
  <si>
    <t xml:space="preserve">QA-1338</t>
  </si>
  <si>
    <t xml:space="preserve">NDR - &gt;$50k ARR Q1 2023</t>
  </si>
  <si>
    <t xml:space="preserve">P1-0638</t>
  </si>
  <si>
    <t xml:space="preserve">Growth_Decomposition!S14</t>
  </si>
  <si>
    <t xml:space="preserve">Customers &gt;10 users Q1 2023</t>
  </si>
  <si>
    <t xml:space="preserve">P1-0639</t>
  </si>
  <si>
    <t xml:space="preserve">Growth_Decomposition!W14</t>
  </si>
  <si>
    <t xml:space="preserve">Customers &gt;$50k ARR Q1 2023</t>
  </si>
  <si>
    <t xml:space="preserve">P1-0640</t>
  </si>
  <si>
    <t xml:space="preserve">Growth_Decomposition!AA14</t>
  </si>
  <si>
    <t xml:space="preserve">Customers &gt;$100k ARR Q1 2023</t>
  </si>
  <si>
    <t xml:space="preserve">P1-0641</t>
  </si>
  <si>
    <t xml:space="preserve">Growth_Decomposition!B15</t>
  </si>
  <si>
    <t xml:space="preserve">Revenue Q2 2023</t>
  </si>
  <si>
    <t xml:space="preserve">P1-0642</t>
  </si>
  <si>
    <t xml:space="preserve">Growth_Decomposition!G15</t>
  </si>
  <si>
    <t xml:space="preserve">QA-1308</t>
  </si>
  <si>
    <t xml:space="preserve">NDR - all customers Q2 2023</t>
  </si>
  <si>
    <t xml:space="preserve">P1-0643</t>
  </si>
  <si>
    <t xml:space="preserve">Growth_Decomposition!J15</t>
  </si>
  <si>
    <t xml:space="preserve">QA-1361</t>
  </si>
  <si>
    <t xml:space="preserve">NDR - &gt;10 users Q2 2023</t>
  </si>
  <si>
    <t xml:space="preserve">P1-0644</t>
  </si>
  <si>
    <t xml:space="preserve">Growth_Decomposition!M15</t>
  </si>
  <si>
    <t xml:space="preserve">QA-1339</t>
  </si>
  <si>
    <t xml:space="preserve">NDR - &gt;$50k ARR Q2 2023</t>
  </si>
  <si>
    <t xml:space="preserve">P1-0645</t>
  </si>
  <si>
    <t xml:space="preserve">Growth_Decomposition!S15</t>
  </si>
  <si>
    <t xml:space="preserve">Customers &gt;10 users Q2 2023</t>
  </si>
  <si>
    <t xml:space="preserve">P1-0646</t>
  </si>
  <si>
    <t xml:space="preserve">Growth_Decomposition!W15</t>
  </si>
  <si>
    <t xml:space="preserve">Customers &gt;$50k ARR Q2 2023</t>
  </si>
  <si>
    <t xml:space="preserve">P1-0647</t>
  </si>
  <si>
    <t xml:space="preserve">Growth_Decomposition!AA15</t>
  </si>
  <si>
    <t xml:space="preserve">Customers &gt;$100k ARR Q2 2023</t>
  </si>
  <si>
    <t xml:space="preserve">P1-0648</t>
  </si>
  <si>
    <t xml:space="preserve">Growth_Decomposition!B16</t>
  </si>
  <si>
    <t xml:space="preserve">Revenue Q3 2023</t>
  </si>
  <si>
    <t xml:space="preserve">P1-0649</t>
  </si>
  <si>
    <t xml:space="preserve">Growth_Decomposition!G16</t>
  </si>
  <si>
    <t xml:space="preserve">QA-1309</t>
  </si>
  <si>
    <t xml:space="preserve">NDR - all customers Q3 2023</t>
  </si>
  <si>
    <t xml:space="preserve">P1-0650</t>
  </si>
  <si>
    <t xml:space="preserve">Growth_Decomposition!J16</t>
  </si>
  <si>
    <t xml:space="preserve">QA-1362</t>
  </si>
  <si>
    <t xml:space="preserve">NDR - &gt;10 users Q3 2023</t>
  </si>
  <si>
    <t xml:space="preserve">P1-0651</t>
  </si>
  <si>
    <t xml:space="preserve">Growth_Decomposition!M16</t>
  </si>
  <si>
    <t xml:space="preserve">QA-1340</t>
  </si>
  <si>
    <t xml:space="preserve">NDR - &gt;$50k ARR Q3 2023</t>
  </si>
  <si>
    <t xml:space="preserve">P1-0652</t>
  </si>
  <si>
    <t xml:space="preserve">Growth_Decomposition!S16</t>
  </si>
  <si>
    <t xml:space="preserve">Customers &gt;10 users Q3 2023</t>
  </si>
  <si>
    <t xml:space="preserve">P1-0653</t>
  </si>
  <si>
    <t xml:space="preserve">Growth_Decomposition!W16</t>
  </si>
  <si>
    <t xml:space="preserve">Customers &gt;$50k ARR Q3 2023</t>
  </si>
  <si>
    <t xml:space="preserve">P1-0654</t>
  </si>
  <si>
    <t xml:space="preserve">Growth_Decomposition!AA16</t>
  </si>
  <si>
    <t xml:space="preserve">Customers &gt;$100k ARR Q3 2023</t>
  </si>
  <si>
    <t xml:space="preserve">P1-0655</t>
  </si>
  <si>
    <t xml:space="preserve">Growth_Decomposition!B17</t>
  </si>
  <si>
    <t xml:space="preserve">Revenue Q4 2023</t>
  </si>
  <si>
    <t xml:space="preserve">P1-0656</t>
  </si>
  <si>
    <t xml:space="preserve">Growth_Decomposition!G17</t>
  </si>
  <si>
    <t xml:space="preserve">NDR - all customers Q4 2023</t>
  </si>
  <si>
    <t xml:space="preserve">P1-0657</t>
  </si>
  <si>
    <t xml:space="preserve">Growth_Decomposition!J17</t>
  </si>
  <si>
    <t xml:space="preserve">NDR - &gt;10 users Q4 2023</t>
  </si>
  <si>
    <t xml:space="preserve">P1-0658</t>
  </si>
  <si>
    <t xml:space="preserve">Growth_Decomposition!M17</t>
  </si>
  <si>
    <t xml:space="preserve">NDR - &gt;$50k ARR Q4 2023</t>
  </si>
  <si>
    <t xml:space="preserve">P1-0659</t>
  </si>
  <si>
    <t xml:space="preserve">Growth_Decomposition!P17</t>
  </si>
  <si>
    <t xml:space="preserve">NDR - &gt;$100k ARR Q4 2023</t>
  </si>
  <si>
    <t xml:space="preserve">P1-0660</t>
  </si>
  <si>
    <t xml:space="preserve">Growth_Decomposition!S17</t>
  </si>
  <si>
    <t xml:space="preserve">Customers &gt;10 users Q4 2023</t>
  </si>
  <si>
    <t xml:space="preserve">P1-0661</t>
  </si>
  <si>
    <t xml:space="preserve">Growth_Decomposition!W17</t>
  </si>
  <si>
    <t xml:space="preserve">Customers &gt;$50k ARR Q4 2023</t>
  </si>
  <si>
    <t xml:space="preserve">P1-0662</t>
  </si>
  <si>
    <t xml:space="preserve">Growth_Decomposition!AA17</t>
  </si>
  <si>
    <t xml:space="preserve">Customers &gt;$100k ARR Q4 2023</t>
  </si>
  <si>
    <t xml:space="preserve">P1-0663</t>
  </si>
  <si>
    <t xml:space="preserve">Growth_Decomposition!B18</t>
  </si>
  <si>
    <t xml:space="preserve">Revenue Q1 2024</t>
  </si>
  <si>
    <t xml:space="preserve">P1-0664</t>
  </si>
  <si>
    <t xml:space="preserve">Growth_Decomposition!G18</t>
  </si>
  <si>
    <t xml:space="preserve">NDR - all customers Q1 2024</t>
  </si>
  <si>
    <t xml:space="preserve">P1-0665</t>
  </si>
  <si>
    <t xml:space="preserve">Growth_Decomposition!J18</t>
  </si>
  <si>
    <t xml:space="preserve">NDR - &gt;10 users Q1 2024</t>
  </si>
  <si>
    <t xml:space="preserve">P1-0666</t>
  </si>
  <si>
    <t xml:space="preserve">Growth_Decomposition!M18</t>
  </si>
  <si>
    <t xml:space="preserve">NDR - &gt;$50k ARR Q1 2024</t>
  </si>
  <si>
    <t xml:space="preserve">P1-0667</t>
  </si>
  <si>
    <t xml:space="preserve">Growth_Decomposition!P18</t>
  </si>
  <si>
    <t xml:space="preserve">NDR - &gt;$100k ARR Q1 2024</t>
  </si>
  <si>
    <t xml:space="preserve">P1-0668</t>
  </si>
  <si>
    <t xml:space="preserve">Growth_Decomposition!S18</t>
  </si>
  <si>
    <t xml:space="preserve">Customers &gt;10 users Q1 2024</t>
  </si>
  <si>
    <t xml:space="preserve">P1-0669</t>
  </si>
  <si>
    <t xml:space="preserve">Growth_Decomposition!W18</t>
  </si>
  <si>
    <t xml:space="preserve">Customers &gt;$50k ARR Q1 2024</t>
  </si>
  <si>
    <t xml:space="preserve">P1-0670</t>
  </si>
  <si>
    <t xml:space="preserve">Growth_Decomposition!AA18</t>
  </si>
  <si>
    <t xml:space="preserve">Customers &gt;$100k ARR Q1 2024</t>
  </si>
  <si>
    <t xml:space="preserve">P1-0671</t>
  </si>
  <si>
    <t xml:space="preserve">Growth_Decomposition!B19</t>
  </si>
  <si>
    <t xml:space="preserve">Revenue Q2 2024</t>
  </si>
  <si>
    <t xml:space="preserve">P1-0672</t>
  </si>
  <si>
    <t xml:space="preserve">Growth_Decomposition!G19</t>
  </si>
  <si>
    <t xml:space="preserve">NDR - all customers Q2 2024</t>
  </si>
  <si>
    <t xml:space="preserve">P1-0673</t>
  </si>
  <si>
    <t xml:space="preserve">Growth_Decomposition!J19</t>
  </si>
  <si>
    <t xml:space="preserve">NDR - &gt;10 users Q2 2024</t>
  </si>
  <si>
    <t xml:space="preserve">P1-0674</t>
  </si>
  <si>
    <t xml:space="preserve">Growth_Decomposition!M19</t>
  </si>
  <si>
    <t xml:space="preserve">NDR - &gt;$50k ARR Q2 2024</t>
  </si>
  <si>
    <t xml:space="preserve">P1-0675</t>
  </si>
  <si>
    <t xml:space="preserve">Growth_Decomposition!P19</t>
  </si>
  <si>
    <t xml:space="preserve">NDR - &gt;$100k ARR Q2 2024</t>
  </si>
  <si>
    <t xml:space="preserve">P1-0676</t>
  </si>
  <si>
    <t xml:space="preserve">Growth_Decomposition!S19</t>
  </si>
  <si>
    <t xml:space="preserve">Customers &gt;10 users Q2 2024</t>
  </si>
  <si>
    <t xml:space="preserve">P1-0677</t>
  </si>
  <si>
    <t xml:space="preserve">Growth_Decomposition!W19</t>
  </si>
  <si>
    <t xml:space="preserve">Customers &gt;$50k ARR Q2 2024</t>
  </si>
  <si>
    <t xml:space="preserve">P1-0678</t>
  </si>
  <si>
    <t xml:space="preserve">Growth_Decomposition!AA19</t>
  </si>
  <si>
    <t xml:space="preserve">Customers &gt;$100k ARR Q2 2024</t>
  </si>
  <si>
    <t xml:space="preserve">P1-0679</t>
  </si>
  <si>
    <t xml:space="preserve">Growth_Decomposition!B20</t>
  </si>
  <si>
    <t xml:space="preserve">Revenue Q3 2024</t>
  </si>
  <si>
    <t xml:space="preserve">P1-0680</t>
  </si>
  <si>
    <t xml:space="preserve">Growth_Decomposition!G20</t>
  </si>
  <si>
    <t xml:space="preserve">NDR - all customers Q3 2024</t>
  </si>
  <si>
    <t xml:space="preserve">P1-0681</t>
  </si>
  <si>
    <t xml:space="preserve">Growth_Decomposition!J20</t>
  </si>
  <si>
    <t xml:space="preserve">NDR - &gt;10 users Q3 2024</t>
  </si>
  <si>
    <t xml:space="preserve">P1-0682</t>
  </si>
  <si>
    <t xml:space="preserve">Growth_Decomposition!M20</t>
  </si>
  <si>
    <t xml:space="preserve">NDR - &gt;$50k ARR Q3 2024</t>
  </si>
  <si>
    <t xml:space="preserve">P1-0683</t>
  </si>
  <si>
    <t xml:space="preserve">Growth_Decomposition!P20</t>
  </si>
  <si>
    <t xml:space="preserve">NDR - &gt;$100k ARR Q3 2024</t>
  </si>
  <si>
    <t xml:space="preserve">P1-0684</t>
  </si>
  <si>
    <t xml:space="preserve">Growth_Decomposition!S20</t>
  </si>
  <si>
    <t xml:space="preserve">Customers &gt;10 users Q3 2024</t>
  </si>
  <si>
    <t xml:space="preserve">P1-0685</t>
  </si>
  <si>
    <t xml:space="preserve">Growth_Decomposition!W20</t>
  </si>
  <si>
    <t xml:space="preserve">Customers &gt;$50k ARR Q3 2024</t>
  </si>
  <si>
    <t xml:space="preserve">P1-0686</t>
  </si>
  <si>
    <t xml:space="preserve">Growth_Decomposition!AA20</t>
  </si>
  <si>
    <t xml:space="preserve">Customers &gt;$100k ARR Q3 2024</t>
  </si>
  <si>
    <t xml:space="preserve">P1-0687</t>
  </si>
  <si>
    <t xml:space="preserve">Growth_Decomposition!AE20</t>
  </si>
  <si>
    <t xml:space="preserve">Customers &gt;$500k ARR Q3 2024</t>
  </si>
  <si>
    <t xml:space="preserve">P1-0688</t>
  </si>
  <si>
    <t xml:space="preserve">Growth_Decomposition!AI20</t>
  </si>
  <si>
    <t xml:space="preserve">ARR share &gt;10 users Q3 2024</t>
  </si>
  <si>
    <t xml:space="preserve">P1-0689</t>
  </si>
  <si>
    <t xml:space="preserve">Growth_Decomposition!AL20</t>
  </si>
  <si>
    <t xml:space="preserve">ARR share &gt;$50k Q3 2024</t>
  </si>
  <si>
    <t xml:space="preserve">P1-0690</t>
  </si>
  <si>
    <t xml:space="preserve">Growth_Decomposition!AO20</t>
  </si>
  <si>
    <t xml:space="preserve">ARR share &gt;$100k Q3 2024</t>
  </si>
  <si>
    <t xml:space="preserve">P1-0691</t>
  </si>
  <si>
    <t xml:space="preserve">Growth_Decomposition!AR20</t>
  </si>
  <si>
    <t xml:space="preserve">ARR share &gt;$500k Q3 2024</t>
  </si>
  <si>
    <t xml:space="preserve">P1-0692</t>
  </si>
  <si>
    <t xml:space="preserve">Growth_Decomposition!B21</t>
  </si>
  <si>
    <t xml:space="preserve">Revenue Q4 2024</t>
  </si>
  <si>
    <t xml:space="preserve">P1-0693</t>
  </si>
  <si>
    <t xml:space="preserve">Growth_Decomposition!G21</t>
  </si>
  <si>
    <t xml:space="preserve">NDR - all customers Q4 2024</t>
  </si>
  <si>
    <t xml:space="preserve">P1-0694</t>
  </si>
  <si>
    <t xml:space="preserve">Growth_Decomposition!J21</t>
  </si>
  <si>
    <t xml:space="preserve">NDR - &gt;10 users Q4 2024</t>
  </si>
  <si>
    <t xml:space="preserve">P1-0695</t>
  </si>
  <si>
    <t xml:space="preserve">Growth_Decomposition!M21</t>
  </si>
  <si>
    <t xml:space="preserve">NDR - &gt;$50k ARR Q4 2024</t>
  </si>
  <si>
    <t xml:space="preserve">P1-0696</t>
  </si>
  <si>
    <t xml:space="preserve">Growth_Decomposition!P21</t>
  </si>
  <si>
    <t xml:space="preserve">NDR - &gt;$100k ARR Q4 2024</t>
  </si>
  <si>
    <t xml:space="preserve">P1-0697</t>
  </si>
  <si>
    <t xml:space="preserve">Growth_Decomposition!S21</t>
  </si>
  <si>
    <t xml:space="preserve">Customers &gt;10 users Q4 2024</t>
  </si>
  <si>
    <t xml:space="preserve">P1-0698</t>
  </si>
  <si>
    <t xml:space="preserve">Growth_Decomposition!W21</t>
  </si>
  <si>
    <t xml:space="preserve">Customers &gt;$50k ARR Q4 2024</t>
  </si>
  <si>
    <t xml:space="preserve">P1-0699</t>
  </si>
  <si>
    <t xml:space="preserve">Growth_Decomposition!AA21</t>
  </si>
  <si>
    <t xml:space="preserve">Customers &gt;$100k ARR Q4 2024</t>
  </si>
  <si>
    <t xml:space="preserve">P1-0700</t>
  </si>
  <si>
    <t xml:space="preserve">Growth_Decomposition!AE21</t>
  </si>
  <si>
    <t xml:space="preserve">Customers &gt;$500k ARR Q4 2024</t>
  </si>
  <si>
    <t xml:space="preserve">P1-0701</t>
  </si>
  <si>
    <t xml:space="preserve">Growth_Decomposition!AI21</t>
  </si>
  <si>
    <t xml:space="preserve">ARR share &gt;10 users Q4 2024</t>
  </si>
  <si>
    <t xml:space="preserve">P1-0702</t>
  </si>
  <si>
    <t xml:space="preserve">Growth_Decomposition!AL21</t>
  </si>
  <si>
    <t xml:space="preserve">ARR share &gt;$50k Q4 2024</t>
  </si>
  <si>
    <t xml:space="preserve">P1-0703</t>
  </si>
  <si>
    <t xml:space="preserve">Growth_Decomposition!AO21</t>
  </si>
  <si>
    <t xml:space="preserve">ARR share &gt;$100k Q4 2024</t>
  </si>
  <si>
    <t xml:space="preserve">P1-0704</t>
  </si>
  <si>
    <t xml:space="preserve">Growth_Decomposition!AR21</t>
  </si>
  <si>
    <t xml:space="preserve">ARR share &gt;$500k Q4 2024</t>
  </si>
  <si>
    <t xml:space="preserve">P1-0705</t>
  </si>
  <si>
    <t xml:space="preserve">Growth_Decomposition!B22</t>
  </si>
  <si>
    <t xml:space="preserve">Revenue Q1 2025</t>
  </si>
  <si>
    <t xml:space="preserve">P1-0706</t>
  </si>
  <si>
    <t xml:space="preserve">Growth_Decomposition!G22</t>
  </si>
  <si>
    <t xml:space="preserve">NDR - all customers Q1 2025</t>
  </si>
  <si>
    <t xml:space="preserve">P1-0707</t>
  </si>
  <si>
    <t xml:space="preserve">Growth_Decomposition!J22</t>
  </si>
  <si>
    <t xml:space="preserve">NDR - &gt;10 users Q1 2025</t>
  </si>
  <si>
    <t xml:space="preserve">P1-0708</t>
  </si>
  <si>
    <t xml:space="preserve">Growth_Decomposition!M22</t>
  </si>
  <si>
    <t xml:space="preserve">NDR - &gt;$50k ARR Q1 2025</t>
  </si>
  <si>
    <t xml:space="preserve">P1-0709</t>
  </si>
  <si>
    <t xml:space="preserve">Growth_Decomposition!P22</t>
  </si>
  <si>
    <t xml:space="preserve">NDR - &gt;$100k ARR Q1 2025</t>
  </si>
  <si>
    <t xml:space="preserve">P1-0710</t>
  </si>
  <si>
    <t xml:space="preserve">Growth_Decomposition!S22</t>
  </si>
  <si>
    <t xml:space="preserve">Customers &gt;10 users Q1 2025</t>
  </si>
  <si>
    <t xml:space="preserve">P1-0711</t>
  </si>
  <si>
    <t xml:space="preserve">Growth_Decomposition!W22</t>
  </si>
  <si>
    <t xml:space="preserve">Customers &gt;$50k ARR Q1 2025</t>
  </si>
  <si>
    <t xml:space="preserve">P1-0712</t>
  </si>
  <si>
    <t xml:space="preserve">Growth_Decomposition!AA22</t>
  </si>
  <si>
    <t xml:space="preserve">Customers &gt;$100k ARR Q1 2025</t>
  </si>
  <si>
    <t xml:space="preserve">P1-0713</t>
  </si>
  <si>
    <t xml:space="preserve">Growth_Decomposition!AE22</t>
  </si>
  <si>
    <t xml:space="preserve">Customers &gt;$500k ARR Q1 2025</t>
  </si>
  <si>
    <t xml:space="preserve">P1-0714</t>
  </si>
  <si>
    <t xml:space="preserve">Growth_Decomposition!AI22</t>
  </si>
  <si>
    <t xml:space="preserve">ARR share &gt;10 users Q1 2025</t>
  </si>
  <si>
    <t xml:space="preserve">P1-0715</t>
  </si>
  <si>
    <t xml:space="preserve">Growth_Decomposition!AL22</t>
  </si>
  <si>
    <t xml:space="preserve">ARR share &gt;$50k Q1 2025</t>
  </si>
  <si>
    <t xml:space="preserve">P1-0716</t>
  </si>
  <si>
    <t xml:space="preserve">Growth_Decomposition!AO22</t>
  </si>
  <si>
    <t xml:space="preserve">ARR share &gt;$100k Q1 2025</t>
  </si>
  <si>
    <t xml:space="preserve">P1-0717</t>
  </si>
  <si>
    <t xml:space="preserve">Growth_Decomposition!AR22</t>
  </si>
  <si>
    <t xml:space="preserve">ARR share &gt;$500k Q1 2025</t>
  </si>
  <si>
    <t xml:space="preserve">P1-0718</t>
  </si>
  <si>
    <t xml:space="preserve">Growth_Decomposition!B23</t>
  </si>
  <si>
    <t xml:space="preserve">Revenue Q2 2025</t>
  </si>
  <si>
    <t xml:space="preserve">P1-0719</t>
  </si>
  <si>
    <t xml:space="preserve">Growth_Decomposition!G23</t>
  </si>
  <si>
    <t xml:space="preserve">NDR - all customers Q2 2025</t>
  </si>
  <si>
    <t xml:space="preserve">P1-0720</t>
  </si>
  <si>
    <t xml:space="preserve">Growth_Decomposition!J23</t>
  </si>
  <si>
    <t xml:space="preserve">NDR - &gt;10 users Q2 2025</t>
  </si>
  <si>
    <t xml:space="preserve">P1-0721</t>
  </si>
  <si>
    <t xml:space="preserve">Growth_Decomposition!M23</t>
  </si>
  <si>
    <t xml:space="preserve">NDR - &gt;$50k ARR Q2 2025</t>
  </si>
  <si>
    <t xml:space="preserve">P1-0722</t>
  </si>
  <si>
    <t xml:space="preserve">Growth_Decomposition!P23</t>
  </si>
  <si>
    <t xml:space="preserve">NDR - &gt;$100k ARR Q2 2025</t>
  </si>
  <si>
    <t xml:space="preserve">P1-0723</t>
  </si>
  <si>
    <t xml:space="preserve">Growth_Decomposition!S23</t>
  </si>
  <si>
    <t xml:space="preserve">Customers &gt;10 users Q2 2025</t>
  </si>
  <si>
    <t xml:space="preserve">P1-0724</t>
  </si>
  <si>
    <t xml:space="preserve">Growth_Decomposition!W23</t>
  </si>
  <si>
    <t xml:space="preserve">Customers &gt;$50k ARR Q2 2025</t>
  </si>
  <si>
    <t xml:space="preserve">P1-0725</t>
  </si>
  <si>
    <t xml:space="preserve">Growth_Decomposition!AA23</t>
  </si>
  <si>
    <t xml:space="preserve">Customers &gt;$100k ARR Q2 2025</t>
  </si>
  <si>
    <t xml:space="preserve">P1-0726</t>
  </si>
  <si>
    <t xml:space="preserve">Growth_Decomposition!AE23</t>
  </si>
  <si>
    <t xml:space="preserve">Customers &gt;$500k ARR Q2 2025</t>
  </si>
  <si>
    <t xml:space="preserve">P1-0727</t>
  </si>
  <si>
    <t xml:space="preserve">Growth_Decomposition!AI23</t>
  </si>
  <si>
    <t xml:space="preserve">ARR share &gt;10 users Q2 2025</t>
  </si>
  <si>
    <t xml:space="preserve">P1-0728</t>
  </si>
  <si>
    <t xml:space="preserve">Growth_Decomposition!AL23</t>
  </si>
  <si>
    <t xml:space="preserve">ARR share &gt;$50k Q2 2025</t>
  </si>
  <si>
    <t xml:space="preserve">P1-0729</t>
  </si>
  <si>
    <t xml:space="preserve">Growth_Decomposition!AO23</t>
  </si>
  <si>
    <t xml:space="preserve">ARR share &gt;$100k Q2 2025</t>
  </si>
  <si>
    <t xml:space="preserve">P1-0730</t>
  </si>
  <si>
    <t xml:space="preserve">Growth_Decomposition!AR23</t>
  </si>
  <si>
    <t xml:space="preserve">ARR share &gt;$500k Q2 2025</t>
  </si>
  <si>
    <t xml:space="preserve">P1-0731</t>
  </si>
  <si>
    <t xml:space="preserve">Growth_Decomposition!B24</t>
  </si>
  <si>
    <t xml:space="preserve">Revenue Q3 2025</t>
  </si>
  <si>
    <t xml:space="preserve">P1-0732</t>
  </si>
  <si>
    <t xml:space="preserve">Growth_Decomposition!G24</t>
  </si>
  <si>
    <t xml:space="preserve">NDR - all customers Q3 2025</t>
  </si>
  <si>
    <t xml:space="preserve">P1-0733</t>
  </si>
  <si>
    <t xml:space="preserve">Growth_Decomposition!J24</t>
  </si>
  <si>
    <t xml:space="preserve">NDR - &gt;10 users Q3 2025</t>
  </si>
  <si>
    <t xml:space="preserve">P1-0734</t>
  </si>
  <si>
    <t xml:space="preserve">Growth_Decomposition!M24</t>
  </si>
  <si>
    <t xml:space="preserve">NDR - &gt;$50k ARR Q3 2025</t>
  </si>
  <si>
    <t xml:space="preserve">P1-0735</t>
  </si>
  <si>
    <t xml:space="preserve">Growth_Decomposition!P24</t>
  </si>
  <si>
    <t xml:space="preserve">NDR - &gt;$100k ARR Q3 2025</t>
  </si>
  <si>
    <t xml:space="preserve">P1-0736</t>
  </si>
  <si>
    <t xml:space="preserve">Growth_Decomposition!S24</t>
  </si>
  <si>
    <t xml:space="preserve">Customers &gt;10 users Q3 2025</t>
  </si>
  <si>
    <t xml:space="preserve">P1-0737</t>
  </si>
  <si>
    <t xml:space="preserve">Growth_Decomposition!W24</t>
  </si>
  <si>
    <t xml:space="preserve">Customers &gt;$50k ARR Q3 2025</t>
  </si>
  <si>
    <t xml:space="preserve">P1-0738</t>
  </si>
  <si>
    <t xml:space="preserve">Growth_Decomposition!AA24</t>
  </si>
  <si>
    <t xml:space="preserve">Customers &gt;$100k ARR Q3 2025</t>
  </si>
  <si>
    <t xml:space="preserve">P1-0739</t>
  </si>
  <si>
    <t xml:space="preserve">Growth_Decomposition!AE24</t>
  </si>
  <si>
    <t xml:space="preserve">Customers &gt;$500k ARR Q3 2025</t>
  </si>
  <si>
    <t xml:space="preserve">P1-0740</t>
  </si>
  <si>
    <t xml:space="preserve">Growth_Decomposition!AI24</t>
  </si>
  <si>
    <t xml:space="preserve">ARR share &gt;10 users Q3 2025</t>
  </si>
  <si>
    <t xml:space="preserve">P1-0741</t>
  </si>
  <si>
    <t xml:space="preserve">Growth_Decomposition!AL24</t>
  </si>
  <si>
    <t xml:space="preserve">ARR share &gt;$50k Q3 2025</t>
  </si>
  <si>
    <t xml:space="preserve">P1-0742</t>
  </si>
  <si>
    <t xml:space="preserve">Growth_Decomposition!AO24</t>
  </si>
  <si>
    <t xml:space="preserve">ARR share &gt;$100k Q3 2025</t>
  </si>
  <si>
    <t xml:space="preserve">P1-0743</t>
  </si>
  <si>
    <t xml:space="preserve">Growth_Decomposition!AR24</t>
  </si>
  <si>
    <t xml:space="preserve">ARR share &gt;$500k Q3 2025</t>
  </si>
  <si>
    <t xml:space="preserve">P1-0744</t>
  </si>
  <si>
    <t xml:space="preserve">Growth_Decomposition!B25</t>
  </si>
  <si>
    <t xml:space="preserve">Revenue Q4 2025</t>
  </si>
  <si>
    <t xml:space="preserve">P1-0745</t>
  </si>
  <si>
    <t xml:space="preserve">Growth_Decomposition!G25</t>
  </si>
  <si>
    <t xml:space="preserve">NDR - all customers Q4 2025</t>
  </si>
  <si>
    <t xml:space="preserve">P1-0746</t>
  </si>
  <si>
    <t xml:space="preserve">Growth_Decomposition!J25</t>
  </si>
  <si>
    <t xml:space="preserve">NDR - &gt;10 users Q4 2025</t>
  </si>
  <si>
    <t xml:space="preserve">P1-0747</t>
  </si>
  <si>
    <t xml:space="preserve">Growth_Decomposition!M25</t>
  </si>
  <si>
    <t xml:space="preserve">NDR - &gt;$50k ARR Q4 2025</t>
  </si>
  <si>
    <t xml:space="preserve">P1-0748</t>
  </si>
  <si>
    <t xml:space="preserve">Growth_Decomposition!P25</t>
  </si>
  <si>
    <t xml:space="preserve">NDR - &gt;$100k ARR Q4 2025</t>
  </si>
  <si>
    <t xml:space="preserve">P1-0749</t>
  </si>
  <si>
    <t xml:space="preserve">Growth_Decomposition!S25</t>
  </si>
  <si>
    <t xml:space="preserve">Customers &gt;10 users Q4 2025</t>
  </si>
  <si>
    <t xml:space="preserve">P1-0750</t>
  </si>
  <si>
    <t xml:space="preserve">Growth_Decomposition!W25</t>
  </si>
  <si>
    <t xml:space="preserve">Customers &gt;$50k ARR Q4 2025</t>
  </si>
  <si>
    <t xml:space="preserve">P1-0751</t>
  </si>
  <si>
    <t xml:space="preserve">Growth_Decomposition!AA25</t>
  </si>
  <si>
    <t xml:space="preserve">Customers &gt;$100k ARR Q4 2025</t>
  </si>
  <si>
    <t xml:space="preserve">P1-0752</t>
  </si>
  <si>
    <t xml:space="preserve">Growth_Decomposition!AE25</t>
  </si>
  <si>
    <t xml:space="preserve">Customers &gt;$500k ARR Q4 2025</t>
  </si>
  <si>
    <t xml:space="preserve">P1-0753</t>
  </si>
  <si>
    <t xml:space="preserve">Growth_Decomposition!AI25</t>
  </si>
  <si>
    <t xml:space="preserve">ARR share &gt;10 users Q4 2025</t>
  </si>
  <si>
    <t xml:space="preserve">P1-0754</t>
  </si>
  <si>
    <t xml:space="preserve">Growth_Decomposition!AL25</t>
  </si>
  <si>
    <t xml:space="preserve">ARR share &gt;$50k Q4 2025</t>
  </si>
  <si>
    <t xml:space="preserve">P1-0755</t>
  </si>
  <si>
    <t xml:space="preserve">Growth_Decomposition!AO25</t>
  </si>
  <si>
    <t xml:space="preserve">ARR share &gt;$100k Q4 2025</t>
  </si>
  <si>
    <t xml:space="preserve">P1-0756</t>
  </si>
  <si>
    <t xml:space="preserve">Growth_Decomposition!AR25</t>
  </si>
  <si>
    <t xml:space="preserve">ARR share &gt;$500k Q4 2025</t>
  </si>
  <si>
    <t xml:space="preserve">P1-0757</t>
  </si>
  <si>
    <t xml:space="preserve">Growth_Decomposition!B26</t>
  </si>
  <si>
    <t xml:space="preserve">Revenue Q1 2026</t>
  </si>
  <si>
    <t xml:space="preserve">P1-0758</t>
  </si>
  <si>
    <t xml:space="preserve">Growth_Decomposition!G26</t>
  </si>
  <si>
    <t xml:space="preserve">NDR - all customers Q1 2026</t>
  </si>
  <si>
    <t xml:space="preserve">P1-0759</t>
  </si>
  <si>
    <t xml:space="preserve">Growth_Decomposition!J26</t>
  </si>
  <si>
    <t xml:space="preserve">NDR - &gt;10 users Q1 2026</t>
  </si>
  <si>
    <t xml:space="preserve">P1-0760</t>
  </si>
  <si>
    <t xml:space="preserve">Growth_Decomposition!M26</t>
  </si>
  <si>
    <t xml:space="preserve">NDR - &gt;$50k ARR Q1 2026</t>
  </si>
  <si>
    <t xml:space="preserve">P1-0761</t>
  </si>
  <si>
    <t xml:space="preserve">Growth_Decomposition!P26</t>
  </si>
  <si>
    <t xml:space="preserve">NDR - &gt;$100k ARR Q1 2026</t>
  </si>
  <si>
    <t xml:space="preserve">P1-0762</t>
  </si>
  <si>
    <t xml:space="preserve">Growth_Decomposition!S26</t>
  </si>
  <si>
    <t xml:space="preserve">Customers &gt;10 users Q1 2026</t>
  </si>
  <si>
    <t xml:space="preserve">P1-0763</t>
  </si>
  <si>
    <t xml:space="preserve">Growth_Decomposition!W26</t>
  </si>
  <si>
    <t xml:space="preserve">Customers &gt;$50k ARR Q1 2026</t>
  </si>
  <si>
    <t xml:space="preserve">P1-0764</t>
  </si>
  <si>
    <t xml:space="preserve">Growth_Decomposition!AA26</t>
  </si>
  <si>
    <t xml:space="preserve">Customers &gt;$100k ARR Q1 2026</t>
  </si>
  <si>
    <t xml:space="preserve">P1-0765</t>
  </si>
  <si>
    <t xml:space="preserve">Growth_Decomposition!AE26</t>
  </si>
  <si>
    <t xml:space="preserve">Customers &gt;$500k ARR Q1 2026</t>
  </si>
  <si>
    <t xml:space="preserve">P1-0766</t>
  </si>
  <si>
    <t xml:space="preserve">Growth_Decomposition!AI26</t>
  </si>
  <si>
    <t xml:space="preserve">ARR share &gt;10 users Q1 2026</t>
  </si>
  <si>
    <t xml:space="preserve">P1-0767</t>
  </si>
  <si>
    <t xml:space="preserve">Growth_Decomposition!AL26</t>
  </si>
  <si>
    <t xml:space="preserve">ARR share &gt;$50k Q1 2026</t>
  </si>
  <si>
    <t xml:space="preserve">P1-0768</t>
  </si>
  <si>
    <t xml:space="preserve">Growth_Decomposition!AO26</t>
  </si>
  <si>
    <t xml:space="preserve">ARR share &gt;$100k Q1 2026</t>
  </si>
  <si>
    <t xml:space="preserve">P1-0769</t>
  </si>
  <si>
    <t xml:space="preserve">Growth_Decomposition!AR26</t>
  </si>
  <si>
    <t xml:space="preserve">ARR share &gt;$500k Q1 2026</t>
  </si>
  <si>
    <t xml:space="preserve">P1-0770</t>
  </si>
  <si>
    <t xml:space="preserve">Growth_Decomposition!B27</t>
  </si>
  <si>
    <t xml:space="preserve">Revenue Q2 2026</t>
  </si>
  <si>
    <t xml:space="preserve">P1-0771</t>
  </si>
  <si>
    <t xml:space="preserve">Growth_Decomposition!G27</t>
  </si>
  <si>
    <t xml:space="preserve">NDR - all customers Q2 2026</t>
  </si>
  <si>
    <t xml:space="preserve">P1-0772</t>
  </si>
  <si>
    <t xml:space="preserve">Growth_Decomposition!J27</t>
  </si>
  <si>
    <t xml:space="preserve">NDR - &gt;10 users Q2 2026</t>
  </si>
  <si>
    <t xml:space="preserve">P1-0773</t>
  </si>
  <si>
    <t xml:space="preserve">Growth_Decomposition!M27</t>
  </si>
  <si>
    <t xml:space="preserve">NDR - &gt;$50k ARR Q2 2026</t>
  </si>
  <si>
    <t xml:space="preserve">P1-0774</t>
  </si>
  <si>
    <t xml:space="preserve">Growth_Decomposition!P27</t>
  </si>
  <si>
    <t xml:space="preserve">NDR - &gt;$100k ARR Q2 2026</t>
  </si>
  <si>
    <t xml:space="preserve">P1-0775</t>
  </si>
  <si>
    <t xml:space="preserve">Growth_Decomposition!S27</t>
  </si>
  <si>
    <t xml:space="preserve">Customers &gt;10 users Q2 2026</t>
  </si>
  <si>
    <t xml:space="preserve">P1-0776</t>
  </si>
  <si>
    <t xml:space="preserve">Growth_Decomposition!W27</t>
  </si>
  <si>
    <t xml:space="preserve">Customers &gt;$50k ARR Q2 2026</t>
  </si>
  <si>
    <t xml:space="preserve">P1-0777</t>
  </si>
  <si>
    <t xml:space="preserve">Growth_Decomposition!AA27</t>
  </si>
  <si>
    <t xml:space="preserve">Customers &gt;$100k ARR Q2 2026</t>
  </si>
  <si>
    <t xml:space="preserve">P1-0778</t>
  </si>
  <si>
    <t xml:space="preserve">Growth_Decomposition!AE27</t>
  </si>
  <si>
    <t xml:space="preserve">Customers &gt;$500k ARR Q2 2026</t>
  </si>
  <si>
    <t xml:space="preserve">P1-0779</t>
  </si>
  <si>
    <t xml:space="preserve">Growth_Decomposition!AI27</t>
  </si>
  <si>
    <t xml:space="preserve">ARR share &gt;10 users Q2 2026</t>
  </si>
  <si>
    <t xml:space="preserve">P1-0780</t>
  </si>
  <si>
    <t xml:space="preserve">Growth_Decomposition!AL27</t>
  </si>
  <si>
    <t xml:space="preserve">ARR share &gt;$50k Q2 2026</t>
  </si>
  <si>
    <t xml:space="preserve">P1-0781</t>
  </si>
  <si>
    <t xml:space="preserve">Growth_Decomposition!AO27</t>
  </si>
  <si>
    <t xml:space="preserve">ARR share &gt;$100k Q2 2026</t>
  </si>
  <si>
    <t xml:space="preserve">P1-0782</t>
  </si>
  <si>
    <t xml:space="preserve">Growth_Decomposition!AR27</t>
  </si>
  <si>
    <t xml:space="preserve">ARR share &gt;$500k Q2 2026</t>
  </si>
  <si>
    <t xml:space="preserve">P1-0783</t>
  </si>
  <si>
    <t xml:space="preserve">Margin_Structure!E6</t>
  </si>
  <si>
    <t xml:space="preserve">P1-0784</t>
  </si>
  <si>
    <t xml:space="preserve">Margin_Structure!H6</t>
  </si>
  <si>
    <t xml:space="preserve">Gross profit (GAAP) Q1 2021</t>
  </si>
  <si>
    <t xml:space="preserve">P1-0785</t>
  </si>
  <si>
    <t xml:space="preserve">Margin_Structure!K6</t>
  </si>
  <si>
    <t xml:space="preserve">Gross profit (non-GAAP) Q1 2021</t>
  </si>
  <si>
    <t xml:space="preserve">P1-0786</t>
  </si>
  <si>
    <t xml:space="preserve">Margin_Structure!N6</t>
  </si>
  <si>
    <t xml:space="preserve">R&amp;D (GAAP) Q1 2021</t>
  </si>
  <si>
    <t xml:space="preserve">P1-0787</t>
  </si>
  <si>
    <t xml:space="preserve">Margin_Structure!Q6</t>
  </si>
  <si>
    <t xml:space="preserve">R&amp;D (non-GAAP) Q1 2021</t>
  </si>
  <si>
    <t xml:space="preserve">P1-0788</t>
  </si>
  <si>
    <t xml:space="preserve">Margin_Structure!T6</t>
  </si>
  <si>
    <t xml:space="preserve">S&amp;M (GAAP) Q1 2021</t>
  </si>
  <si>
    <t xml:space="preserve">P1-0789</t>
  </si>
  <si>
    <t xml:space="preserve">Margin_Structure!W6</t>
  </si>
  <si>
    <t xml:space="preserve">S&amp;M (non-GAAP) Q1 2021</t>
  </si>
  <si>
    <t xml:space="preserve">P1-0790</t>
  </si>
  <si>
    <t xml:space="preserve">Margin_Structure!Z6</t>
  </si>
  <si>
    <t xml:space="preserve">G&amp;A (GAAP) Q1 2021</t>
  </si>
  <si>
    <t xml:space="preserve">P1-0791</t>
  </si>
  <si>
    <t xml:space="preserve">Margin_Structure!AC6</t>
  </si>
  <si>
    <t xml:space="preserve">G&amp;A (non-GAAP) Q1 2021</t>
  </si>
  <si>
    <t xml:space="preserve">P1-0792</t>
  </si>
  <si>
    <t xml:space="preserve">Margin_Structure!AF6</t>
  </si>
  <si>
    <t xml:space="preserve">Operating income (GAAP) Q1 2021</t>
  </si>
  <si>
    <t xml:space="preserve">P1-0793</t>
  </si>
  <si>
    <t xml:space="preserve">Margin_Structure!AI6</t>
  </si>
  <si>
    <t xml:space="preserve">Operating income (non-GAAP) Q1 2021</t>
  </si>
  <si>
    <t xml:space="preserve">P1-0794</t>
  </si>
  <si>
    <t xml:space="preserve">Margin_Structure!E7</t>
  </si>
  <si>
    <t xml:space="preserve">P1-0795</t>
  </si>
  <si>
    <t xml:space="preserve">Margin_Structure!H7</t>
  </si>
  <si>
    <t xml:space="preserve">Gross profit (GAAP) Q2 2021</t>
  </si>
  <si>
    <t xml:space="preserve">P1-0796</t>
  </si>
  <si>
    <t xml:space="preserve">Margin_Structure!K7</t>
  </si>
  <si>
    <t xml:space="preserve">Gross profit (non-GAAP) Q2 2021</t>
  </si>
  <si>
    <t xml:space="preserve">P1-0797</t>
  </si>
  <si>
    <t xml:space="preserve">Margin_Structure!N7</t>
  </si>
  <si>
    <t xml:space="preserve">R&amp;D (GAAP) Q2 2021</t>
  </si>
  <si>
    <t xml:space="preserve">P1-0798</t>
  </si>
  <si>
    <t xml:space="preserve">Margin_Structure!Q7</t>
  </si>
  <si>
    <t xml:space="preserve">R&amp;D (non-GAAP) Q2 2021</t>
  </si>
  <si>
    <t xml:space="preserve">P1-0799</t>
  </si>
  <si>
    <t xml:space="preserve">Margin_Structure!T7</t>
  </si>
  <si>
    <t xml:space="preserve">S&amp;M (GAAP) Q2 2021</t>
  </si>
  <si>
    <t xml:space="preserve">P1-0800</t>
  </si>
  <si>
    <t xml:space="preserve">Margin_Structure!W7</t>
  </si>
  <si>
    <t xml:space="preserve">S&amp;M (non-GAAP) Q2 2021</t>
  </si>
  <si>
    <t xml:space="preserve">P1-0801</t>
  </si>
  <si>
    <t xml:space="preserve">Margin_Structure!Z7</t>
  </si>
  <si>
    <t xml:space="preserve">G&amp;A (GAAP) Q2 2021</t>
  </si>
  <si>
    <t xml:space="preserve">P1-0802</t>
  </si>
  <si>
    <t xml:space="preserve">Margin_Structure!AC7</t>
  </si>
  <si>
    <t xml:space="preserve">G&amp;A (non-GAAP) Q2 2021</t>
  </si>
  <si>
    <t xml:space="preserve">P1-0803</t>
  </si>
  <si>
    <t xml:space="preserve">Margin_Structure!AF7</t>
  </si>
  <si>
    <t xml:space="preserve">Operating income (GAAP) Q2 2021</t>
  </si>
  <si>
    <t xml:space="preserve">P1-0804</t>
  </si>
  <si>
    <t xml:space="preserve">Margin_Structure!AI7</t>
  </si>
  <si>
    <t xml:space="preserve">Operating income (non-GAAP) Q2 2021</t>
  </si>
  <si>
    <t xml:space="preserve">P1-0805</t>
  </si>
  <si>
    <t xml:space="preserve">Margin_Structure!E8</t>
  </si>
  <si>
    <t xml:space="preserve">P1-0806</t>
  </si>
  <si>
    <t xml:space="preserve">Margin_Structure!H8</t>
  </si>
  <si>
    <t xml:space="preserve">Gross profit (GAAP) Q3 2021</t>
  </si>
  <si>
    <t xml:space="preserve">P1-0807</t>
  </si>
  <si>
    <t xml:space="preserve">Margin_Structure!K8</t>
  </si>
  <si>
    <t xml:space="preserve">Gross profit (non-GAAP) Q3 2021</t>
  </si>
  <si>
    <t xml:space="preserve">P1-0808</t>
  </si>
  <si>
    <t xml:space="preserve">Margin_Structure!N8</t>
  </si>
  <si>
    <t xml:space="preserve">R&amp;D (GAAP) Q3 2021</t>
  </si>
  <si>
    <t xml:space="preserve">P1-0809</t>
  </si>
  <si>
    <t xml:space="preserve">Margin_Structure!Q8</t>
  </si>
  <si>
    <t xml:space="preserve">R&amp;D (non-GAAP) Q3 2021</t>
  </si>
  <si>
    <t xml:space="preserve">P1-0810</t>
  </si>
  <si>
    <t xml:space="preserve">Margin_Structure!T8</t>
  </si>
  <si>
    <t xml:space="preserve">S&amp;M (GAAP) Q3 2021</t>
  </si>
  <si>
    <t xml:space="preserve">P1-0811</t>
  </si>
  <si>
    <t xml:space="preserve">Margin_Structure!W8</t>
  </si>
  <si>
    <t xml:space="preserve">S&amp;M (non-GAAP) Q3 2021</t>
  </si>
  <si>
    <t xml:space="preserve">P1-0812</t>
  </si>
  <si>
    <t xml:space="preserve">Margin_Structure!Z8</t>
  </si>
  <si>
    <t xml:space="preserve">G&amp;A (GAAP) Q3 2021</t>
  </si>
  <si>
    <t xml:space="preserve">P1-0813</t>
  </si>
  <si>
    <t xml:space="preserve">Margin_Structure!AC8</t>
  </si>
  <si>
    <t xml:space="preserve">G&amp;A (non-GAAP) Q3 2021</t>
  </si>
  <si>
    <t xml:space="preserve">P1-0814</t>
  </si>
  <si>
    <t xml:space="preserve">Margin_Structure!AF8</t>
  </si>
  <si>
    <t xml:space="preserve">Operating income (GAAP) Q3 2021</t>
  </si>
  <si>
    <t xml:space="preserve">P1-0815</t>
  </si>
  <si>
    <t xml:space="preserve">Margin_Structure!AI8</t>
  </si>
  <si>
    <t xml:space="preserve">Operating income (non-GAAP) Q3 2021</t>
  </si>
  <si>
    <t xml:space="preserve">P1-0816</t>
  </si>
  <si>
    <t xml:space="preserve">Margin_Structure!E9</t>
  </si>
  <si>
    <t xml:space="preserve">P1-0817</t>
  </si>
  <si>
    <t xml:space="preserve">Margin_Structure!H9</t>
  </si>
  <si>
    <t xml:space="preserve">Gross profit (GAAP) Q4 2021</t>
  </si>
  <si>
    <t xml:space="preserve">P1-0818</t>
  </si>
  <si>
    <t xml:space="preserve">Margin_Structure!K9</t>
  </si>
  <si>
    <t xml:space="preserve">Gross profit (non-GAAP) Q4 2021</t>
  </si>
  <si>
    <t xml:space="preserve">P1-0819</t>
  </si>
  <si>
    <t xml:space="preserve">Margin_Structure!N9</t>
  </si>
  <si>
    <t xml:space="preserve">R&amp;D (GAAP) Q4 2021</t>
  </si>
  <si>
    <t xml:space="preserve">P1-0820</t>
  </si>
  <si>
    <t xml:space="preserve">Margin_Structure!Q9</t>
  </si>
  <si>
    <t xml:space="preserve">R&amp;D (non-GAAP) Q4 2021</t>
  </si>
  <si>
    <t xml:space="preserve">P1-0821</t>
  </si>
  <si>
    <t xml:space="preserve">Margin_Structure!T9</t>
  </si>
  <si>
    <t xml:space="preserve">S&amp;M (GAAP) Q4 2021</t>
  </si>
  <si>
    <t xml:space="preserve">P1-0822</t>
  </si>
  <si>
    <t xml:space="preserve">Margin_Structure!W9</t>
  </si>
  <si>
    <t xml:space="preserve">S&amp;M (non-GAAP) Q4 2021</t>
  </si>
  <si>
    <t xml:space="preserve">P1-0823</t>
  </si>
  <si>
    <t xml:space="preserve">Margin_Structure!Z9</t>
  </si>
  <si>
    <t xml:space="preserve">G&amp;A (GAAP) Q4 2021</t>
  </si>
  <si>
    <t xml:space="preserve">P1-0824</t>
  </si>
  <si>
    <t xml:space="preserve">Margin_Structure!AC9</t>
  </si>
  <si>
    <t xml:space="preserve">G&amp;A (non-GAAP) Q4 2021</t>
  </si>
  <si>
    <t xml:space="preserve">P1-0825</t>
  </si>
  <si>
    <t xml:space="preserve">Margin_Structure!AF9</t>
  </si>
  <si>
    <t xml:space="preserve">Operating income (GAAP) Q4 2021</t>
  </si>
  <si>
    <t xml:space="preserve">P1-0826</t>
  </si>
  <si>
    <t xml:space="preserve">Margin_Structure!AI9</t>
  </si>
  <si>
    <t xml:space="preserve">Operating income (non-GAAP) Q4 2021</t>
  </si>
  <si>
    <t xml:space="preserve">P1-0827</t>
  </si>
  <si>
    <t xml:space="preserve">Margin_Structure!E10</t>
  </si>
  <si>
    <t xml:space="preserve">P1-0828</t>
  </si>
  <si>
    <t xml:space="preserve">Margin_Structure!H10</t>
  </si>
  <si>
    <t xml:space="preserve">Gross profit (GAAP) Q1 2022</t>
  </si>
  <si>
    <t xml:space="preserve">P1-0829</t>
  </si>
  <si>
    <t xml:space="preserve">Margin_Structure!K10</t>
  </si>
  <si>
    <t xml:space="preserve">Gross profit (non-GAAP) Q1 2022</t>
  </si>
  <si>
    <t xml:space="preserve">P1-0830</t>
  </si>
  <si>
    <t xml:space="preserve">Margin_Structure!N10</t>
  </si>
  <si>
    <t xml:space="preserve">R&amp;D (GAAP) Q1 2022</t>
  </si>
  <si>
    <t xml:space="preserve">P1-0831</t>
  </si>
  <si>
    <t xml:space="preserve">Margin_Structure!Q10</t>
  </si>
  <si>
    <t xml:space="preserve">R&amp;D (non-GAAP) Q1 2022</t>
  </si>
  <si>
    <t xml:space="preserve">P1-0832</t>
  </si>
  <si>
    <t xml:space="preserve">Margin_Structure!T10</t>
  </si>
  <si>
    <t xml:space="preserve">S&amp;M (GAAP) Q1 2022</t>
  </si>
  <si>
    <t xml:space="preserve">P1-0833</t>
  </si>
  <si>
    <t xml:space="preserve">Margin_Structure!W10</t>
  </si>
  <si>
    <t xml:space="preserve">S&amp;M (non-GAAP) Q1 2022</t>
  </si>
  <si>
    <t xml:space="preserve">P1-0834</t>
  </si>
  <si>
    <t xml:space="preserve">Margin_Structure!Z10</t>
  </si>
  <si>
    <t xml:space="preserve">G&amp;A (GAAP) Q1 2022</t>
  </si>
  <si>
    <t xml:space="preserve">P1-0835</t>
  </si>
  <si>
    <t xml:space="preserve">Margin_Structure!AC10</t>
  </si>
  <si>
    <t xml:space="preserve">G&amp;A (non-GAAP) Q1 2022</t>
  </si>
  <si>
    <t xml:space="preserve">P1-0836</t>
  </si>
  <si>
    <t xml:space="preserve">Margin_Structure!AF10</t>
  </si>
  <si>
    <t xml:space="preserve">Operating income (GAAP) Q1 2022</t>
  </si>
  <si>
    <t xml:space="preserve">P1-0837</t>
  </si>
  <si>
    <t xml:space="preserve">Margin_Structure!AI10</t>
  </si>
  <si>
    <t xml:space="preserve">Operating income (non-GAAP) Q1 2022</t>
  </si>
  <si>
    <t xml:space="preserve">P1-0838</t>
  </si>
  <si>
    <t xml:space="preserve">Margin_Structure!E11</t>
  </si>
  <si>
    <t xml:space="preserve">P1-0839</t>
  </si>
  <si>
    <t xml:space="preserve">Margin_Structure!H11</t>
  </si>
  <si>
    <t xml:space="preserve">Gross profit (GAAP) Q2 2022</t>
  </si>
  <si>
    <t xml:space="preserve">P1-0840</t>
  </si>
  <si>
    <t xml:space="preserve">Margin_Structure!K11</t>
  </si>
  <si>
    <t xml:space="preserve">Gross profit (non-GAAP) Q2 2022</t>
  </si>
  <si>
    <t xml:space="preserve">P1-0841</t>
  </si>
  <si>
    <t xml:space="preserve">Margin_Structure!N11</t>
  </si>
  <si>
    <t xml:space="preserve">R&amp;D (GAAP) Q2 2022</t>
  </si>
  <si>
    <t xml:space="preserve">P1-0842</t>
  </si>
  <si>
    <t xml:space="preserve">Margin_Structure!Q11</t>
  </si>
  <si>
    <t xml:space="preserve">R&amp;D (non-GAAP) Q2 2022</t>
  </si>
  <si>
    <t xml:space="preserve">P1-0843</t>
  </si>
  <si>
    <t xml:space="preserve">Margin_Structure!T11</t>
  </si>
  <si>
    <t xml:space="preserve">S&amp;M (GAAP) Q2 2022</t>
  </si>
  <si>
    <t xml:space="preserve">P1-0844</t>
  </si>
  <si>
    <t xml:space="preserve">Margin_Structure!W11</t>
  </si>
  <si>
    <t xml:space="preserve">S&amp;M (non-GAAP) Q2 2022</t>
  </si>
  <si>
    <t xml:space="preserve">P1-0845</t>
  </si>
  <si>
    <t xml:space="preserve">Margin_Structure!Z11</t>
  </si>
  <si>
    <t xml:space="preserve">G&amp;A (GAAP) Q2 2022</t>
  </si>
  <si>
    <t xml:space="preserve">P1-0846</t>
  </si>
  <si>
    <t xml:space="preserve">Margin_Structure!AC11</t>
  </si>
  <si>
    <t xml:space="preserve">G&amp;A (non-GAAP) Q2 2022</t>
  </si>
  <si>
    <t xml:space="preserve">P1-0847</t>
  </si>
  <si>
    <t xml:space="preserve">Margin_Structure!AF11</t>
  </si>
  <si>
    <t xml:space="preserve">Operating income (GAAP) Q2 2022</t>
  </si>
  <si>
    <t xml:space="preserve">P1-0848</t>
  </si>
  <si>
    <t xml:space="preserve">Margin_Structure!AI11</t>
  </si>
  <si>
    <t xml:space="preserve">Operating income (non-GAAP) Q2 2022</t>
  </si>
  <si>
    <t xml:space="preserve">P1-0849</t>
  </si>
  <si>
    <t xml:space="preserve">Margin_Structure!E12</t>
  </si>
  <si>
    <t xml:space="preserve">P1-0850</t>
  </si>
  <si>
    <t xml:space="preserve">Margin_Structure!H12</t>
  </si>
  <si>
    <t xml:space="preserve">Gross profit (GAAP) Q3 2022</t>
  </si>
  <si>
    <t xml:space="preserve">P1-0851</t>
  </si>
  <si>
    <t xml:space="preserve">Margin_Structure!K12</t>
  </si>
  <si>
    <t xml:space="preserve">Gross profit (non-GAAP) Q3 2022</t>
  </si>
  <si>
    <t xml:space="preserve">P1-0852</t>
  </si>
  <si>
    <t xml:space="preserve">Margin_Structure!N12</t>
  </si>
  <si>
    <t xml:space="preserve">R&amp;D (GAAP) Q3 2022</t>
  </si>
  <si>
    <t xml:space="preserve">P1-0853</t>
  </si>
  <si>
    <t xml:space="preserve">Margin_Structure!Q12</t>
  </si>
  <si>
    <t xml:space="preserve">R&amp;D (non-GAAP) Q3 2022</t>
  </si>
  <si>
    <t xml:space="preserve">P1-0854</t>
  </si>
  <si>
    <t xml:space="preserve">Margin_Structure!T12</t>
  </si>
  <si>
    <t xml:space="preserve">S&amp;M (GAAP) Q3 2022</t>
  </si>
  <si>
    <t xml:space="preserve">P1-0855</t>
  </si>
  <si>
    <t xml:space="preserve">Margin_Structure!W12</t>
  </si>
  <si>
    <t xml:space="preserve">S&amp;M (non-GAAP) Q3 2022</t>
  </si>
  <si>
    <t xml:space="preserve">P1-0856</t>
  </si>
  <si>
    <t xml:space="preserve">Margin_Structure!Z12</t>
  </si>
  <si>
    <t xml:space="preserve">G&amp;A (GAAP) Q3 2022</t>
  </si>
  <si>
    <t xml:space="preserve">P1-0857</t>
  </si>
  <si>
    <t xml:space="preserve">Margin_Structure!AC12</t>
  </si>
  <si>
    <t xml:space="preserve">G&amp;A (non-GAAP) Q3 2022</t>
  </si>
  <si>
    <t xml:space="preserve">P1-0858</t>
  </si>
  <si>
    <t xml:space="preserve">Margin_Structure!AF12</t>
  </si>
  <si>
    <t xml:space="preserve">Operating income (GAAP) Q3 2022</t>
  </si>
  <si>
    <t xml:space="preserve">P1-0859</t>
  </si>
  <si>
    <t xml:space="preserve">Margin_Structure!AI12</t>
  </si>
  <si>
    <t xml:space="preserve">Operating income (non-GAAP) Q3 2022</t>
  </si>
  <si>
    <t xml:space="preserve">P1-0860</t>
  </si>
  <si>
    <t xml:space="preserve">Margin_Structure!E13</t>
  </si>
  <si>
    <t xml:space="preserve">P1-0861</t>
  </si>
  <si>
    <t xml:space="preserve">Margin_Structure!H13</t>
  </si>
  <si>
    <t xml:space="preserve">Gross profit (GAAP) Q4 2022</t>
  </si>
  <si>
    <t xml:space="preserve">P1-0862</t>
  </si>
  <si>
    <t xml:space="preserve">Margin_Structure!K13</t>
  </si>
  <si>
    <t xml:space="preserve">Gross profit (non-GAAP) Q4 2022</t>
  </si>
  <si>
    <t xml:space="preserve">P1-0863</t>
  </si>
  <si>
    <t xml:space="preserve">Margin_Structure!N13</t>
  </si>
  <si>
    <t xml:space="preserve">R&amp;D (GAAP) Q4 2022</t>
  </si>
  <si>
    <t xml:space="preserve">P1-0864</t>
  </si>
  <si>
    <t xml:space="preserve">Margin_Structure!Q13</t>
  </si>
  <si>
    <t xml:space="preserve">R&amp;D (non-GAAP) Q4 2022</t>
  </si>
  <si>
    <t xml:space="preserve">P1-0865</t>
  </si>
  <si>
    <t xml:space="preserve">Margin_Structure!T13</t>
  </si>
  <si>
    <t xml:space="preserve">S&amp;M (GAAP) Q4 2022</t>
  </si>
  <si>
    <t xml:space="preserve">P1-0866</t>
  </si>
  <si>
    <t xml:space="preserve">Margin_Structure!W13</t>
  </si>
  <si>
    <t xml:space="preserve">S&amp;M (non-GAAP) Q4 2022</t>
  </si>
  <si>
    <t xml:space="preserve">P1-0867</t>
  </si>
  <si>
    <t xml:space="preserve">Margin_Structure!Z13</t>
  </si>
  <si>
    <t xml:space="preserve">G&amp;A (GAAP) Q4 2022</t>
  </si>
  <si>
    <t xml:space="preserve">P1-0868</t>
  </si>
  <si>
    <t xml:space="preserve">Margin_Structure!AC13</t>
  </si>
  <si>
    <t xml:space="preserve">G&amp;A (non-GAAP) Q4 2022</t>
  </si>
  <si>
    <t xml:space="preserve">P1-0869</t>
  </si>
  <si>
    <t xml:space="preserve">Margin_Structure!AF13</t>
  </si>
  <si>
    <t xml:space="preserve">Operating income (GAAP) Q4 2022</t>
  </si>
  <si>
    <t xml:space="preserve">P1-0870</t>
  </si>
  <si>
    <t xml:space="preserve">Margin_Structure!AI13</t>
  </si>
  <si>
    <t xml:space="preserve">Operating income (non-GAAP) Q4 2022</t>
  </si>
  <si>
    <t xml:space="preserve">P1-0871</t>
  </si>
  <si>
    <t xml:space="preserve">Margin_Structure!E14</t>
  </si>
  <si>
    <t xml:space="preserve">P1-0872</t>
  </si>
  <si>
    <t xml:space="preserve">Margin_Structure!H14</t>
  </si>
  <si>
    <t xml:space="preserve">Gross profit (GAAP) Q1 2023</t>
  </si>
  <si>
    <t xml:space="preserve">P1-0873</t>
  </si>
  <si>
    <t xml:space="preserve">Margin_Structure!K14</t>
  </si>
  <si>
    <t xml:space="preserve">Gross profit (non-GAAP) Q1 2023</t>
  </si>
  <si>
    <t xml:space="preserve">P1-0874</t>
  </si>
  <si>
    <t xml:space="preserve">Margin_Structure!N14</t>
  </si>
  <si>
    <t xml:space="preserve">R&amp;D (GAAP) Q1 2023</t>
  </si>
  <si>
    <t xml:space="preserve">P1-0875</t>
  </si>
  <si>
    <t xml:space="preserve">Margin_Structure!Q14</t>
  </si>
  <si>
    <t xml:space="preserve">R&amp;D (non-GAAP) Q1 2023</t>
  </si>
  <si>
    <t xml:space="preserve">P1-0876</t>
  </si>
  <si>
    <t xml:space="preserve">Margin_Structure!T14</t>
  </si>
  <si>
    <t xml:space="preserve">S&amp;M (GAAP) Q1 2023</t>
  </si>
  <si>
    <t xml:space="preserve">P1-0877</t>
  </si>
  <si>
    <t xml:space="preserve">Margin_Structure!W14</t>
  </si>
  <si>
    <t xml:space="preserve">S&amp;M (non-GAAP) Q1 2023</t>
  </si>
  <si>
    <t xml:space="preserve">P1-0878</t>
  </si>
  <si>
    <t xml:space="preserve">Margin_Structure!Z14</t>
  </si>
  <si>
    <t xml:space="preserve">G&amp;A (GAAP) Q1 2023</t>
  </si>
  <si>
    <t xml:space="preserve">P1-0879</t>
  </si>
  <si>
    <t xml:space="preserve">Margin_Structure!AC14</t>
  </si>
  <si>
    <t xml:space="preserve">G&amp;A (non-GAAP) Q1 2023</t>
  </si>
  <si>
    <t xml:space="preserve">P1-0880</t>
  </si>
  <si>
    <t xml:space="preserve">Margin_Structure!AF14</t>
  </si>
  <si>
    <t xml:space="preserve">Operating income (GAAP) Q1 2023</t>
  </si>
  <si>
    <t xml:space="preserve">P1-0881</t>
  </si>
  <si>
    <t xml:space="preserve">Margin_Structure!AI14</t>
  </si>
  <si>
    <t xml:space="preserve">Operating income (non-GAAP) Q1 2023</t>
  </si>
  <si>
    <t xml:space="preserve">P1-0882</t>
  </si>
  <si>
    <t xml:space="preserve">Margin_Structure!E15</t>
  </si>
  <si>
    <t xml:space="preserve">P1-0883</t>
  </si>
  <si>
    <t xml:space="preserve">Margin_Structure!H15</t>
  </si>
  <si>
    <t xml:space="preserve">Gross profit (GAAP) Q2 2023</t>
  </si>
  <si>
    <t xml:space="preserve">P1-0884</t>
  </si>
  <si>
    <t xml:space="preserve">Margin_Structure!K15</t>
  </si>
  <si>
    <t xml:space="preserve">Gross profit (non-GAAP) Q2 2023</t>
  </si>
  <si>
    <t xml:space="preserve">P1-0885</t>
  </si>
  <si>
    <t xml:space="preserve">Margin_Structure!N15</t>
  </si>
  <si>
    <t xml:space="preserve">R&amp;D (GAAP) Q2 2023</t>
  </si>
  <si>
    <t xml:space="preserve">P1-0886</t>
  </si>
  <si>
    <t xml:space="preserve">Margin_Structure!Q15</t>
  </si>
  <si>
    <t xml:space="preserve">R&amp;D (non-GAAP) Q2 2023</t>
  </si>
  <si>
    <t xml:space="preserve">P1-0887</t>
  </si>
  <si>
    <t xml:space="preserve">Margin_Structure!T15</t>
  </si>
  <si>
    <t xml:space="preserve">S&amp;M (GAAP) Q2 2023</t>
  </si>
  <si>
    <t xml:space="preserve">P1-0888</t>
  </si>
  <si>
    <t xml:space="preserve">Margin_Structure!W15</t>
  </si>
  <si>
    <t xml:space="preserve">S&amp;M (non-GAAP) Q2 2023</t>
  </si>
  <si>
    <t xml:space="preserve">P1-0889</t>
  </si>
  <si>
    <t xml:space="preserve">Margin_Structure!Z15</t>
  </si>
  <si>
    <t xml:space="preserve">G&amp;A (GAAP) Q2 2023</t>
  </si>
  <si>
    <t xml:space="preserve">P1-0890</t>
  </si>
  <si>
    <t xml:space="preserve">Margin_Structure!AC15</t>
  </si>
  <si>
    <t xml:space="preserve">G&amp;A (non-GAAP) Q2 2023</t>
  </si>
  <si>
    <t xml:space="preserve">P1-0891</t>
  </si>
  <si>
    <t xml:space="preserve">Margin_Structure!AF15</t>
  </si>
  <si>
    <t xml:space="preserve">Operating income (GAAP) Q2 2023</t>
  </si>
  <si>
    <t xml:space="preserve">P1-0892</t>
  </si>
  <si>
    <t xml:space="preserve">Margin_Structure!AI15</t>
  </si>
  <si>
    <t xml:space="preserve">Operating income (non-GAAP) Q2 2023</t>
  </si>
  <si>
    <t xml:space="preserve">P1-0893</t>
  </si>
  <si>
    <t xml:space="preserve">Margin_Structure!E16</t>
  </si>
  <si>
    <t xml:space="preserve">P1-0894</t>
  </si>
  <si>
    <t xml:space="preserve">Margin_Structure!H16</t>
  </si>
  <si>
    <t xml:space="preserve">Gross profit (GAAP) Q3 2023</t>
  </si>
  <si>
    <t xml:space="preserve">P1-0895</t>
  </si>
  <si>
    <t xml:space="preserve">Margin_Structure!K16</t>
  </si>
  <si>
    <t xml:space="preserve">Gross profit (non-GAAP) Q3 2023</t>
  </si>
  <si>
    <t xml:space="preserve">P1-0896</t>
  </si>
  <si>
    <t xml:space="preserve">Margin_Structure!N16</t>
  </si>
  <si>
    <t xml:space="preserve">R&amp;D (GAAP) Q3 2023</t>
  </si>
  <si>
    <t xml:space="preserve">P1-0897</t>
  </si>
  <si>
    <t xml:space="preserve">Margin_Structure!Q16</t>
  </si>
  <si>
    <t xml:space="preserve">R&amp;D (non-GAAP) Q3 2023</t>
  </si>
  <si>
    <t xml:space="preserve">P1-0898</t>
  </si>
  <si>
    <t xml:space="preserve">Margin_Structure!T16</t>
  </si>
  <si>
    <t xml:space="preserve">S&amp;M (GAAP) Q3 2023</t>
  </si>
  <si>
    <t xml:space="preserve">P1-0899</t>
  </si>
  <si>
    <t xml:space="preserve">Margin_Structure!W16</t>
  </si>
  <si>
    <t xml:space="preserve">S&amp;M (non-GAAP) Q3 2023</t>
  </si>
  <si>
    <t xml:space="preserve">P1-0900</t>
  </si>
  <si>
    <t xml:space="preserve">Margin_Structure!Z16</t>
  </si>
  <si>
    <t xml:space="preserve">G&amp;A (GAAP) Q3 2023</t>
  </si>
  <si>
    <t xml:space="preserve">P1-0901</t>
  </si>
  <si>
    <t xml:space="preserve">Margin_Structure!AC16</t>
  </si>
  <si>
    <t xml:space="preserve">G&amp;A (non-GAAP) Q3 2023</t>
  </si>
  <si>
    <t xml:space="preserve">P1-0902</t>
  </si>
  <si>
    <t xml:space="preserve">Margin_Structure!AF16</t>
  </si>
  <si>
    <t xml:space="preserve">Operating income (GAAP) Q3 2023</t>
  </si>
  <si>
    <t xml:space="preserve">P1-0903</t>
  </si>
  <si>
    <t xml:space="preserve">Margin_Structure!AI16</t>
  </si>
  <si>
    <t xml:space="preserve">Operating income (non-GAAP) Q3 2023</t>
  </si>
  <si>
    <t xml:space="preserve">P1-0904</t>
  </si>
  <si>
    <t xml:space="preserve">Margin_Structure!E17</t>
  </si>
  <si>
    <t xml:space="preserve">P1-0905</t>
  </si>
  <si>
    <t xml:space="preserve">Margin_Structure!H17</t>
  </si>
  <si>
    <t xml:space="preserve">Gross profit (GAAP) Q4 2023</t>
  </si>
  <si>
    <t xml:space="preserve">P1-0906</t>
  </si>
  <si>
    <t xml:space="preserve">Margin_Structure!K17</t>
  </si>
  <si>
    <t xml:space="preserve">Gross profit (non-GAAP) Q4 2023</t>
  </si>
  <si>
    <t xml:space="preserve">P1-0907</t>
  </si>
  <si>
    <t xml:space="preserve">Margin_Structure!N17</t>
  </si>
  <si>
    <t xml:space="preserve">R&amp;D (GAAP) Q4 2023</t>
  </si>
  <si>
    <t xml:space="preserve">P1-0908</t>
  </si>
  <si>
    <t xml:space="preserve">Margin_Structure!Q17</t>
  </si>
  <si>
    <t xml:space="preserve">R&amp;D (non-GAAP) Q4 2023</t>
  </si>
  <si>
    <t xml:space="preserve">P1-0909</t>
  </si>
  <si>
    <t xml:space="preserve">Margin_Structure!T17</t>
  </si>
  <si>
    <t xml:space="preserve">S&amp;M (GAAP) Q4 2023</t>
  </si>
  <si>
    <t xml:space="preserve">P1-0910</t>
  </si>
  <si>
    <t xml:space="preserve">Margin_Structure!W17</t>
  </si>
  <si>
    <t xml:space="preserve">S&amp;M (non-GAAP) Q4 2023</t>
  </si>
  <si>
    <t xml:space="preserve">P1-0911</t>
  </si>
  <si>
    <t xml:space="preserve">Margin_Structure!Z17</t>
  </si>
  <si>
    <t xml:space="preserve">G&amp;A (GAAP) Q4 2023</t>
  </si>
  <si>
    <t xml:space="preserve">P1-0912</t>
  </si>
  <si>
    <t xml:space="preserve">Margin_Structure!AC17</t>
  </si>
  <si>
    <t xml:space="preserve">G&amp;A (non-GAAP) Q4 2023</t>
  </si>
  <si>
    <t xml:space="preserve">P1-0913</t>
  </si>
  <si>
    <t xml:space="preserve">Margin_Structure!AF17</t>
  </si>
  <si>
    <t xml:space="preserve">Operating income (GAAP) Q4 2023</t>
  </si>
  <si>
    <t xml:space="preserve">P1-0914</t>
  </si>
  <si>
    <t xml:space="preserve">Margin_Structure!AI17</t>
  </si>
  <si>
    <t xml:space="preserve">Operating income (non-GAAP) Q4 2023</t>
  </si>
  <si>
    <t xml:space="preserve">P1-0915</t>
  </si>
  <si>
    <t xml:space="preserve">Margin_Structure!E18</t>
  </si>
  <si>
    <t xml:space="preserve">P1-0916</t>
  </si>
  <si>
    <t xml:space="preserve">Margin_Structure!H18</t>
  </si>
  <si>
    <t xml:space="preserve">Gross profit (GAAP) Q1 2024</t>
  </si>
  <si>
    <t xml:space="preserve">P1-0917</t>
  </si>
  <si>
    <t xml:space="preserve">Margin_Structure!K18</t>
  </si>
  <si>
    <t xml:space="preserve">Gross profit (non-GAAP) Q1 2024</t>
  </si>
  <si>
    <t xml:space="preserve">P1-0918</t>
  </si>
  <si>
    <t xml:space="preserve">Margin_Structure!N18</t>
  </si>
  <si>
    <t xml:space="preserve">R&amp;D (GAAP) Q1 2024</t>
  </si>
  <si>
    <t xml:space="preserve">P1-0919</t>
  </si>
  <si>
    <t xml:space="preserve">Margin_Structure!Q18</t>
  </si>
  <si>
    <t xml:space="preserve">R&amp;D (non-GAAP) Q1 2024</t>
  </si>
  <si>
    <t xml:space="preserve">P1-0920</t>
  </si>
  <si>
    <t xml:space="preserve">Margin_Structure!T18</t>
  </si>
  <si>
    <t xml:space="preserve">S&amp;M (GAAP) Q1 2024</t>
  </si>
  <si>
    <t xml:space="preserve">P1-0921</t>
  </si>
  <si>
    <t xml:space="preserve">Margin_Structure!W18</t>
  </si>
  <si>
    <t xml:space="preserve">S&amp;M (non-GAAP) Q1 2024</t>
  </si>
  <si>
    <t xml:space="preserve">P1-0922</t>
  </si>
  <si>
    <t xml:space="preserve">Margin_Structure!Z18</t>
  </si>
  <si>
    <t xml:space="preserve">G&amp;A (GAAP) Q1 2024</t>
  </si>
  <si>
    <t xml:space="preserve">P1-0923</t>
  </si>
  <si>
    <t xml:space="preserve">Margin_Structure!AC18</t>
  </si>
  <si>
    <t xml:space="preserve">G&amp;A (non-GAAP) Q1 2024</t>
  </si>
  <si>
    <t xml:space="preserve">P1-0924</t>
  </si>
  <si>
    <t xml:space="preserve">Margin_Structure!AF18</t>
  </si>
  <si>
    <t xml:space="preserve">Operating income (GAAP) Q1 2024</t>
  </si>
  <si>
    <t xml:space="preserve">P1-0925</t>
  </si>
  <si>
    <t xml:space="preserve">Margin_Structure!AI18</t>
  </si>
  <si>
    <t xml:space="preserve">Operating income (non-GAAP) Q1 2024</t>
  </si>
  <si>
    <t xml:space="preserve">P1-0926</t>
  </si>
  <si>
    <t xml:space="preserve">Margin_Structure!E19</t>
  </si>
  <si>
    <t xml:space="preserve">P1-0927</t>
  </si>
  <si>
    <t xml:space="preserve">Margin_Structure!H19</t>
  </si>
  <si>
    <t xml:space="preserve">Gross profit (GAAP) Q2 2024</t>
  </si>
  <si>
    <t xml:space="preserve">P1-0928</t>
  </si>
  <si>
    <t xml:space="preserve">Margin_Structure!K19</t>
  </si>
  <si>
    <t xml:space="preserve">Gross profit (non-GAAP) Q2 2024</t>
  </si>
  <si>
    <t xml:space="preserve">P1-0929</t>
  </si>
  <si>
    <t xml:space="preserve">Margin_Structure!N19</t>
  </si>
  <si>
    <t xml:space="preserve">R&amp;D (GAAP) Q2 2024</t>
  </si>
  <si>
    <t xml:space="preserve">P1-0930</t>
  </si>
  <si>
    <t xml:space="preserve">Margin_Structure!Q19</t>
  </si>
  <si>
    <t xml:space="preserve">R&amp;D (non-GAAP) Q2 2024</t>
  </si>
  <si>
    <t xml:space="preserve">P1-0931</t>
  </si>
  <si>
    <t xml:space="preserve">Margin_Structure!T19</t>
  </si>
  <si>
    <t xml:space="preserve">S&amp;M (GAAP) Q2 2024</t>
  </si>
  <si>
    <t xml:space="preserve">P1-0932</t>
  </si>
  <si>
    <t xml:space="preserve">Margin_Structure!W19</t>
  </si>
  <si>
    <t xml:space="preserve">S&amp;M (non-GAAP) Q2 2024</t>
  </si>
  <si>
    <t xml:space="preserve">P1-0933</t>
  </si>
  <si>
    <t xml:space="preserve">Margin_Structure!Z19</t>
  </si>
  <si>
    <t xml:space="preserve">G&amp;A (GAAP) Q2 2024</t>
  </si>
  <si>
    <t xml:space="preserve">P1-0934</t>
  </si>
  <si>
    <t xml:space="preserve">Margin_Structure!AC19</t>
  </si>
  <si>
    <t xml:space="preserve">G&amp;A (non-GAAP) Q2 2024</t>
  </si>
  <si>
    <t xml:space="preserve">P1-0935</t>
  </si>
  <si>
    <t xml:space="preserve">Margin_Structure!AF19</t>
  </si>
  <si>
    <t xml:space="preserve">Operating income (GAAP) Q2 2024</t>
  </si>
  <si>
    <t xml:space="preserve">P1-0936</t>
  </si>
  <si>
    <t xml:space="preserve">Margin_Structure!AI19</t>
  </si>
  <si>
    <t xml:space="preserve">Operating income (non-GAAP) Q2 2024</t>
  </si>
  <si>
    <t xml:space="preserve">P1-0937</t>
  </si>
  <si>
    <t xml:space="preserve">Margin_Structure!E20</t>
  </si>
  <si>
    <t xml:space="preserve">P1-0938</t>
  </si>
  <si>
    <t xml:space="preserve">Margin_Structure!H20</t>
  </si>
  <si>
    <t xml:space="preserve">Gross profit (GAAP) Q3 2024</t>
  </si>
  <si>
    <t xml:space="preserve">P1-0939</t>
  </si>
  <si>
    <t xml:space="preserve">Margin_Structure!K20</t>
  </si>
  <si>
    <t xml:space="preserve">Gross profit (non-GAAP) Q3 2024</t>
  </si>
  <si>
    <t xml:space="preserve">P1-0940</t>
  </si>
  <si>
    <t xml:space="preserve">Margin_Structure!N20</t>
  </si>
  <si>
    <t xml:space="preserve">R&amp;D (GAAP) Q3 2024</t>
  </si>
  <si>
    <t xml:space="preserve">P1-0941</t>
  </si>
  <si>
    <t xml:space="preserve">Margin_Structure!Q20</t>
  </si>
  <si>
    <t xml:space="preserve">R&amp;D (non-GAAP) Q3 2024</t>
  </si>
  <si>
    <t xml:space="preserve">P1-0942</t>
  </si>
  <si>
    <t xml:space="preserve">Margin_Structure!T20</t>
  </si>
  <si>
    <t xml:space="preserve">S&amp;M (GAAP) Q3 2024</t>
  </si>
  <si>
    <t xml:space="preserve">P1-0943</t>
  </si>
  <si>
    <t xml:space="preserve">Margin_Structure!W20</t>
  </si>
  <si>
    <t xml:space="preserve">S&amp;M (non-GAAP) Q3 2024</t>
  </si>
  <si>
    <t xml:space="preserve">P1-0944</t>
  </si>
  <si>
    <t xml:space="preserve">Margin_Structure!Z20</t>
  </si>
  <si>
    <t xml:space="preserve">G&amp;A (GAAP) Q3 2024</t>
  </si>
  <si>
    <t xml:space="preserve">P1-0945</t>
  </si>
  <si>
    <t xml:space="preserve">Margin_Structure!AC20</t>
  </si>
  <si>
    <t xml:space="preserve">G&amp;A (non-GAAP) Q3 2024</t>
  </si>
  <si>
    <t xml:space="preserve">P1-0946</t>
  </si>
  <si>
    <t xml:space="preserve">Margin_Structure!AF20</t>
  </si>
  <si>
    <t xml:space="preserve">Operating income (GAAP) Q3 2024</t>
  </si>
  <si>
    <t xml:space="preserve">P1-0947</t>
  </si>
  <si>
    <t xml:space="preserve">Margin_Structure!AI20</t>
  </si>
  <si>
    <t xml:space="preserve">Operating income (non-GAAP) Q3 2024</t>
  </si>
  <si>
    <t xml:space="preserve">P1-0948</t>
  </si>
  <si>
    <t xml:space="preserve">Margin_Structure!E21</t>
  </si>
  <si>
    <t xml:space="preserve">P1-0949</t>
  </si>
  <si>
    <t xml:space="preserve">Margin_Structure!H21</t>
  </si>
  <si>
    <t xml:space="preserve">Gross profit (GAAP) Q4 2024</t>
  </si>
  <si>
    <t xml:space="preserve">P1-0950</t>
  </si>
  <si>
    <t xml:space="preserve">Margin_Structure!K21</t>
  </si>
  <si>
    <t xml:space="preserve">Gross profit (non-GAAP) Q4 2024</t>
  </si>
  <si>
    <t xml:space="preserve">P1-0951</t>
  </si>
  <si>
    <t xml:space="preserve">Margin_Structure!N21</t>
  </si>
  <si>
    <t xml:space="preserve">R&amp;D (GAAP) Q4 2024</t>
  </si>
  <si>
    <t xml:space="preserve">P1-0952</t>
  </si>
  <si>
    <t xml:space="preserve">Margin_Structure!Q21</t>
  </si>
  <si>
    <t xml:space="preserve">R&amp;D (non-GAAP) Q4 2024</t>
  </si>
  <si>
    <t xml:space="preserve">P1-0953</t>
  </si>
  <si>
    <t xml:space="preserve">Margin_Structure!T21</t>
  </si>
  <si>
    <t xml:space="preserve">S&amp;M (GAAP) Q4 2024</t>
  </si>
  <si>
    <t xml:space="preserve">P1-0954</t>
  </si>
  <si>
    <t xml:space="preserve">Margin_Structure!W21</t>
  </si>
  <si>
    <t xml:space="preserve">S&amp;M (non-GAAP) Q4 2024</t>
  </si>
  <si>
    <t xml:space="preserve">P1-0955</t>
  </si>
  <si>
    <t xml:space="preserve">Margin_Structure!Z21</t>
  </si>
  <si>
    <t xml:space="preserve">G&amp;A (GAAP) Q4 2024</t>
  </si>
  <si>
    <t xml:space="preserve">P1-0956</t>
  </si>
  <si>
    <t xml:space="preserve">Margin_Structure!AC21</t>
  </si>
  <si>
    <t xml:space="preserve">G&amp;A (non-GAAP) Q4 2024</t>
  </si>
  <si>
    <t xml:space="preserve">P1-0957</t>
  </si>
  <si>
    <t xml:space="preserve">Margin_Structure!AF21</t>
  </si>
  <si>
    <t xml:space="preserve">Operating income (GAAP) Q4 2024</t>
  </si>
  <si>
    <t xml:space="preserve">P1-0958</t>
  </si>
  <si>
    <t xml:space="preserve">Margin_Structure!AI21</t>
  </si>
  <si>
    <t xml:space="preserve">Operating income (non-GAAP) Q4 2024</t>
  </si>
  <si>
    <t xml:space="preserve">P1-0959</t>
  </si>
  <si>
    <t xml:space="preserve">Margin_Structure!E22</t>
  </si>
  <si>
    <t xml:space="preserve">P1-0960</t>
  </si>
  <si>
    <t xml:space="preserve">Margin_Structure!H22</t>
  </si>
  <si>
    <t xml:space="preserve">Gross profit (GAAP) Q1 2025</t>
  </si>
  <si>
    <t xml:space="preserve">P1-0961</t>
  </si>
  <si>
    <t xml:space="preserve">Margin_Structure!K22</t>
  </si>
  <si>
    <t xml:space="preserve">Gross profit (non-GAAP) Q1 2025</t>
  </si>
  <si>
    <t xml:space="preserve">P1-0962</t>
  </si>
  <si>
    <t xml:space="preserve">Margin_Structure!N22</t>
  </si>
  <si>
    <t xml:space="preserve">R&amp;D (GAAP) Q1 2025</t>
  </si>
  <si>
    <t xml:space="preserve">P1-0963</t>
  </si>
  <si>
    <t xml:space="preserve">Margin_Structure!Q22</t>
  </si>
  <si>
    <t xml:space="preserve">R&amp;D (non-GAAP) Q1 2025</t>
  </si>
  <si>
    <t xml:space="preserve">P1-0964</t>
  </si>
  <si>
    <t xml:space="preserve">Margin_Structure!T22</t>
  </si>
  <si>
    <t xml:space="preserve">S&amp;M (GAAP) Q1 2025</t>
  </si>
  <si>
    <t xml:space="preserve">P1-0965</t>
  </si>
  <si>
    <t xml:space="preserve">Margin_Structure!W22</t>
  </si>
  <si>
    <t xml:space="preserve">S&amp;M (non-GAAP) Q1 2025</t>
  </si>
  <si>
    <t xml:space="preserve">P1-0966</t>
  </si>
  <si>
    <t xml:space="preserve">Margin_Structure!Z22</t>
  </si>
  <si>
    <t xml:space="preserve">G&amp;A (GAAP) Q1 2025</t>
  </si>
  <si>
    <t xml:space="preserve">P1-0967</t>
  </si>
  <si>
    <t xml:space="preserve">Margin_Structure!AC22</t>
  </si>
  <si>
    <t xml:space="preserve">G&amp;A (non-GAAP) Q1 2025</t>
  </si>
  <si>
    <t xml:space="preserve">P1-0968</t>
  </si>
  <si>
    <t xml:space="preserve">Margin_Structure!AF22</t>
  </si>
  <si>
    <t xml:space="preserve">Operating income (GAAP) Q1 2025</t>
  </si>
  <si>
    <t xml:space="preserve">P1-0969</t>
  </si>
  <si>
    <t xml:space="preserve">Margin_Structure!AI22</t>
  </si>
  <si>
    <t xml:space="preserve">Operating income (non-GAAP) Q1 2025</t>
  </si>
  <si>
    <t xml:space="preserve">P1-0970</t>
  </si>
  <si>
    <t xml:space="preserve">Margin_Structure!E23</t>
  </si>
  <si>
    <t xml:space="preserve">P1-0971</t>
  </si>
  <si>
    <t xml:space="preserve">Margin_Structure!H23</t>
  </si>
  <si>
    <t xml:space="preserve">Gross profit (GAAP) Q2 2025</t>
  </si>
  <si>
    <t xml:space="preserve">P1-0972</t>
  </si>
  <si>
    <t xml:space="preserve">Margin_Structure!K23</t>
  </si>
  <si>
    <t xml:space="preserve">Gross profit (non-GAAP) Q2 2025</t>
  </si>
  <si>
    <t xml:space="preserve">P1-0973</t>
  </si>
  <si>
    <t xml:space="preserve">Margin_Structure!N23</t>
  </si>
  <si>
    <t xml:space="preserve">R&amp;D (GAAP) Q2 2025</t>
  </si>
  <si>
    <t xml:space="preserve">P1-0974</t>
  </si>
  <si>
    <t xml:space="preserve">Margin_Structure!Q23</t>
  </si>
  <si>
    <t xml:space="preserve">R&amp;D (non-GAAP) Q2 2025</t>
  </si>
  <si>
    <t xml:space="preserve">P1-0975</t>
  </si>
  <si>
    <t xml:space="preserve">Margin_Structure!T23</t>
  </si>
  <si>
    <t xml:space="preserve">S&amp;M (GAAP) Q2 2025</t>
  </si>
  <si>
    <t xml:space="preserve">P1-0976</t>
  </si>
  <si>
    <t xml:space="preserve">Margin_Structure!W23</t>
  </si>
  <si>
    <t xml:space="preserve">S&amp;M (non-GAAP) Q2 2025</t>
  </si>
  <si>
    <t xml:space="preserve">P1-0977</t>
  </si>
  <si>
    <t xml:space="preserve">Margin_Structure!Z23</t>
  </si>
  <si>
    <t xml:space="preserve">G&amp;A (GAAP) Q2 2025</t>
  </si>
  <si>
    <t xml:space="preserve">P1-0978</t>
  </si>
  <si>
    <t xml:space="preserve">Margin_Structure!AC23</t>
  </si>
  <si>
    <t xml:space="preserve">G&amp;A (non-GAAP) Q2 2025</t>
  </si>
  <si>
    <t xml:space="preserve">P1-0979</t>
  </si>
  <si>
    <t xml:space="preserve">Margin_Structure!AF23</t>
  </si>
  <si>
    <t xml:space="preserve">Operating income (GAAP) Q2 2025</t>
  </si>
  <si>
    <t xml:space="preserve">P1-0980</t>
  </si>
  <si>
    <t xml:space="preserve">Margin_Structure!AI23</t>
  </si>
  <si>
    <t xml:space="preserve">Operating income (non-GAAP) Q2 2025</t>
  </si>
  <si>
    <t xml:space="preserve">P1-0981</t>
  </si>
  <si>
    <t xml:space="preserve">Margin_Structure!E24</t>
  </si>
  <si>
    <t xml:space="preserve">P1-0982</t>
  </si>
  <si>
    <t xml:space="preserve">Margin_Structure!H24</t>
  </si>
  <si>
    <t xml:space="preserve">Gross profit (GAAP) Q3 2025</t>
  </si>
  <si>
    <t xml:space="preserve">P1-0983</t>
  </si>
  <si>
    <t xml:space="preserve">Margin_Structure!K24</t>
  </si>
  <si>
    <t xml:space="preserve">Gross profit (non-GAAP) Q3 2025</t>
  </si>
  <si>
    <t xml:space="preserve">P1-0984</t>
  </si>
  <si>
    <t xml:space="preserve">Margin_Structure!N24</t>
  </si>
  <si>
    <t xml:space="preserve">R&amp;D (GAAP) Q3 2025</t>
  </si>
  <si>
    <t xml:space="preserve">P1-0985</t>
  </si>
  <si>
    <t xml:space="preserve">Margin_Structure!Q24</t>
  </si>
  <si>
    <t xml:space="preserve">R&amp;D (non-GAAP) Q3 2025</t>
  </si>
  <si>
    <t xml:space="preserve">P1-0986</t>
  </si>
  <si>
    <t xml:space="preserve">Margin_Structure!T24</t>
  </si>
  <si>
    <t xml:space="preserve">S&amp;M (GAAP) Q3 2025</t>
  </si>
  <si>
    <t xml:space="preserve">P1-0987</t>
  </si>
  <si>
    <t xml:space="preserve">Margin_Structure!W24</t>
  </si>
  <si>
    <t xml:space="preserve">S&amp;M (non-GAAP) Q3 2025</t>
  </si>
  <si>
    <t xml:space="preserve">P1-0988</t>
  </si>
  <si>
    <t xml:space="preserve">Margin_Structure!Z24</t>
  </si>
  <si>
    <t xml:space="preserve">G&amp;A (GAAP) Q3 2025</t>
  </si>
  <si>
    <t xml:space="preserve">P1-0989</t>
  </si>
  <si>
    <t xml:space="preserve">Margin_Structure!AC24</t>
  </si>
  <si>
    <t xml:space="preserve">G&amp;A (non-GAAP) Q3 2025</t>
  </si>
  <si>
    <t xml:space="preserve">P1-0990</t>
  </si>
  <si>
    <t xml:space="preserve">Margin_Structure!AF24</t>
  </si>
  <si>
    <t xml:space="preserve">Operating income (GAAP) Q3 2025</t>
  </si>
  <si>
    <t xml:space="preserve">P1-0991</t>
  </si>
  <si>
    <t xml:space="preserve">Margin_Structure!AI24</t>
  </si>
  <si>
    <t xml:space="preserve">Operating income (non-GAAP) Q3 2025</t>
  </si>
  <si>
    <t xml:space="preserve">P1-0992</t>
  </si>
  <si>
    <t xml:space="preserve">Margin_Structure!E25</t>
  </si>
  <si>
    <t xml:space="preserve">P1-0993</t>
  </si>
  <si>
    <t xml:space="preserve">Margin_Structure!H25</t>
  </si>
  <si>
    <t xml:space="preserve">Gross profit (GAAP) Q4 2025</t>
  </si>
  <si>
    <t xml:space="preserve">P1-0994</t>
  </si>
  <si>
    <t xml:space="preserve">Margin_Structure!K25</t>
  </si>
  <si>
    <t xml:space="preserve">Gross profit (non-GAAP) Q4 2025</t>
  </si>
  <si>
    <t xml:space="preserve">P1-0995</t>
  </si>
  <si>
    <t xml:space="preserve">Margin_Structure!N25</t>
  </si>
  <si>
    <t xml:space="preserve">R&amp;D (GAAP) Q4 2025</t>
  </si>
  <si>
    <t xml:space="preserve">P1-0996</t>
  </si>
  <si>
    <t xml:space="preserve">Margin_Structure!Q25</t>
  </si>
  <si>
    <t xml:space="preserve">R&amp;D (non-GAAP) Q4 2025</t>
  </si>
  <si>
    <t xml:space="preserve">P1-0997</t>
  </si>
  <si>
    <t xml:space="preserve">Margin_Structure!T25</t>
  </si>
  <si>
    <t xml:space="preserve">S&amp;M (GAAP) Q4 2025</t>
  </si>
  <si>
    <t xml:space="preserve">P1-0998</t>
  </si>
  <si>
    <t xml:space="preserve">Margin_Structure!W25</t>
  </si>
  <si>
    <t xml:space="preserve">S&amp;M (non-GAAP) Q4 2025</t>
  </si>
  <si>
    <t xml:space="preserve">P1-0999</t>
  </si>
  <si>
    <t xml:space="preserve">Margin_Structure!Z25</t>
  </si>
  <si>
    <t xml:space="preserve">G&amp;A (GAAP) Q4 2025</t>
  </si>
  <si>
    <t xml:space="preserve">P1-1000</t>
  </si>
  <si>
    <t xml:space="preserve">Margin_Structure!AC25</t>
  </si>
  <si>
    <t xml:space="preserve">G&amp;A (non-GAAP) Q4 2025</t>
  </si>
  <si>
    <t xml:space="preserve">P1-1001</t>
  </si>
  <si>
    <t xml:space="preserve">Margin_Structure!AF25</t>
  </si>
  <si>
    <t xml:space="preserve">Operating income (GAAP) Q4 2025</t>
  </si>
  <si>
    <t xml:space="preserve">P1-1002</t>
  </si>
  <si>
    <t xml:space="preserve">Margin_Structure!AI25</t>
  </si>
  <si>
    <t xml:space="preserve">Operating income (non-GAAP) Q4 2025</t>
  </si>
  <si>
    <t xml:space="preserve">P1-1003</t>
  </si>
  <si>
    <t xml:space="preserve">Margin_Structure!E26</t>
  </si>
  <si>
    <t xml:space="preserve">P1-1004</t>
  </si>
  <si>
    <t xml:space="preserve">Margin_Structure!H26</t>
  </si>
  <si>
    <t xml:space="preserve">Gross profit (GAAP) Q1 2026</t>
  </si>
  <si>
    <t xml:space="preserve">P1-1005</t>
  </si>
  <si>
    <t xml:space="preserve">Margin_Structure!K26</t>
  </si>
  <si>
    <t xml:space="preserve">Gross profit (non-GAAP) Q1 2026</t>
  </si>
  <si>
    <t xml:space="preserve">P1-1006</t>
  </si>
  <si>
    <t xml:space="preserve">Margin_Structure!N26</t>
  </si>
  <si>
    <t xml:space="preserve">R&amp;D (GAAP) Q1 2026</t>
  </si>
  <si>
    <t xml:space="preserve">P1-1007</t>
  </si>
  <si>
    <t xml:space="preserve">Margin_Structure!Q26</t>
  </si>
  <si>
    <t xml:space="preserve">R&amp;D (non-GAAP) Q1 2026</t>
  </si>
  <si>
    <t xml:space="preserve">P1-1008</t>
  </si>
  <si>
    <t xml:space="preserve">Margin_Structure!T26</t>
  </si>
  <si>
    <t xml:space="preserve">S&amp;M (GAAP) Q1 2026</t>
  </si>
  <si>
    <t xml:space="preserve">P1-1009</t>
  </si>
  <si>
    <t xml:space="preserve">Margin_Structure!W26</t>
  </si>
  <si>
    <t xml:space="preserve">S&amp;M (non-GAAP) Q1 2026</t>
  </si>
  <si>
    <t xml:space="preserve">P1-1010</t>
  </si>
  <si>
    <t xml:space="preserve">Margin_Structure!Z26</t>
  </si>
  <si>
    <t xml:space="preserve">G&amp;A (GAAP) Q1 2026</t>
  </si>
  <si>
    <t xml:space="preserve">P1-1011</t>
  </si>
  <si>
    <t xml:space="preserve">Margin_Structure!AC26</t>
  </si>
  <si>
    <t xml:space="preserve">G&amp;A (non-GAAP) Q1 2026</t>
  </si>
  <si>
    <t xml:space="preserve">P1-1012</t>
  </si>
  <si>
    <t xml:space="preserve">Margin_Structure!AF26</t>
  </si>
  <si>
    <t xml:space="preserve">Operating income (GAAP) Q1 2026</t>
  </si>
  <si>
    <t xml:space="preserve">P1-1013</t>
  </si>
  <si>
    <t xml:space="preserve">Margin_Structure!AI26</t>
  </si>
  <si>
    <t xml:space="preserve">Operating income (non-GAAP) Q1 2026</t>
  </si>
  <si>
    <t xml:space="preserve">P1-1014</t>
  </si>
  <si>
    <t xml:space="preserve">Margin_Structure!E27</t>
  </si>
  <si>
    <t xml:space="preserve">P1-1015</t>
  </si>
  <si>
    <t xml:space="preserve">Margin_Structure!H27</t>
  </si>
  <si>
    <t xml:space="preserve">Gross profit (GAAP) Q2 2026</t>
  </si>
  <si>
    <t xml:space="preserve">P1-1016</t>
  </si>
  <si>
    <t xml:space="preserve">Margin_Structure!K27</t>
  </si>
  <si>
    <t xml:space="preserve">Gross profit (non-GAAP) Q2 2026</t>
  </si>
  <si>
    <t xml:space="preserve">P1-1017</t>
  </si>
  <si>
    <t xml:space="preserve">Margin_Structure!N27</t>
  </si>
  <si>
    <t xml:space="preserve">R&amp;D (GAAP) Q2 2026</t>
  </si>
  <si>
    <t xml:space="preserve">P1-1018</t>
  </si>
  <si>
    <t xml:space="preserve">Margin_Structure!Q27</t>
  </si>
  <si>
    <t xml:space="preserve">R&amp;D (non-GAAP) Q2 2026</t>
  </si>
  <si>
    <t xml:space="preserve">P1-1019</t>
  </si>
  <si>
    <t xml:space="preserve">Margin_Structure!T27</t>
  </si>
  <si>
    <t xml:space="preserve">S&amp;M (GAAP) Q2 2026</t>
  </si>
  <si>
    <t xml:space="preserve">P1-1020</t>
  </si>
  <si>
    <t xml:space="preserve">Margin_Structure!W27</t>
  </si>
  <si>
    <t xml:space="preserve">S&amp;M (non-GAAP) Q2 2026</t>
  </si>
  <si>
    <t xml:space="preserve">P1-1021</t>
  </si>
  <si>
    <t xml:space="preserve">Margin_Structure!Z27</t>
  </si>
  <si>
    <t xml:space="preserve">G&amp;A (GAAP) Q2 2026</t>
  </si>
  <si>
    <t xml:space="preserve">P1-1022</t>
  </si>
  <si>
    <t xml:space="preserve">Margin_Structure!AC27</t>
  </si>
  <si>
    <t xml:space="preserve">G&amp;A (non-GAAP) Q2 2026</t>
  </si>
  <si>
    <t xml:space="preserve">P1-1023</t>
  </si>
  <si>
    <t xml:space="preserve">Margin_Structure!AF27</t>
  </si>
  <si>
    <t xml:space="preserve">Operating income (GAAP) Q2 2026</t>
  </si>
  <si>
    <t xml:space="preserve">P1-1024</t>
  </si>
  <si>
    <t xml:space="preserve">Margin_Structure!AI27</t>
  </si>
  <si>
    <t xml:space="preserve">Operating income (non-GAAP) Q2 2026</t>
  </si>
  <si>
    <t xml:space="preserve">P1-1025</t>
  </si>
  <si>
    <t xml:space="preserve">Margin_Structure!E28</t>
  </si>
  <si>
    <t xml:space="preserve">Revenue FY 2021</t>
  </si>
  <si>
    <t xml:space="preserve">P1-1026</t>
  </si>
  <si>
    <t xml:space="preserve">Margin_Structure!H28</t>
  </si>
  <si>
    <t xml:space="preserve">Gross profit (GAAP) FY 2021</t>
  </si>
  <si>
    <t xml:space="preserve">P1-1027</t>
  </si>
  <si>
    <t xml:space="preserve">Margin_Structure!K28</t>
  </si>
  <si>
    <t xml:space="preserve">Gross profit (non-GAAP) FY 2021</t>
  </si>
  <si>
    <t xml:space="preserve">P1-1028</t>
  </si>
  <si>
    <t xml:space="preserve">Margin_Structure!N28</t>
  </si>
  <si>
    <t xml:space="preserve">R&amp;D (GAAP) FY 2021</t>
  </si>
  <si>
    <t xml:space="preserve">P1-1029</t>
  </si>
  <si>
    <t xml:space="preserve">Margin_Structure!Q28</t>
  </si>
  <si>
    <t xml:space="preserve">R&amp;D (non-GAAP) FY 2021</t>
  </si>
  <si>
    <t xml:space="preserve">P1-1030</t>
  </si>
  <si>
    <t xml:space="preserve">Margin_Structure!T28</t>
  </si>
  <si>
    <t xml:space="preserve">S&amp;M (GAAP) FY 2021</t>
  </si>
  <si>
    <t xml:space="preserve">P1-1031</t>
  </si>
  <si>
    <t xml:space="preserve">Margin_Structure!W28</t>
  </si>
  <si>
    <t xml:space="preserve">S&amp;M (non-GAAP) FY 2021</t>
  </si>
  <si>
    <t xml:space="preserve">P1-1032</t>
  </si>
  <si>
    <t xml:space="preserve">Margin_Structure!Z28</t>
  </si>
  <si>
    <t xml:space="preserve">G&amp;A (GAAP) FY 2021</t>
  </si>
  <si>
    <t xml:space="preserve">P1-1033</t>
  </si>
  <si>
    <t xml:space="preserve">Margin_Structure!AC28</t>
  </si>
  <si>
    <t xml:space="preserve">G&amp;A (non-GAAP) FY 2021</t>
  </si>
  <si>
    <t xml:space="preserve">P1-1034</t>
  </si>
  <si>
    <t xml:space="preserve">Margin_Structure!AF28</t>
  </si>
  <si>
    <t xml:space="preserve">Operating income (GAAP) FY 2021</t>
  </si>
  <si>
    <t xml:space="preserve">P1-1035</t>
  </si>
  <si>
    <t xml:space="preserve">Margin_Structure!AI28</t>
  </si>
  <si>
    <t xml:space="preserve">Operating income (non-GAAP) FY 2021</t>
  </si>
  <si>
    <t xml:space="preserve">P1-1036</t>
  </si>
  <si>
    <t xml:space="preserve">Margin_Structure!E29</t>
  </si>
  <si>
    <t xml:space="preserve">Revenue FY 2022</t>
  </si>
  <si>
    <t xml:space="preserve">P1-1037</t>
  </si>
  <si>
    <t xml:space="preserve">Margin_Structure!H29</t>
  </si>
  <si>
    <t xml:space="preserve">Gross profit (GAAP) FY 2022</t>
  </si>
  <si>
    <t xml:space="preserve">P1-1038</t>
  </si>
  <si>
    <t xml:space="preserve">Margin_Structure!K29</t>
  </si>
  <si>
    <t xml:space="preserve">Gross profit (non-GAAP) FY 2022</t>
  </si>
  <si>
    <t xml:space="preserve">P1-1039</t>
  </si>
  <si>
    <t xml:space="preserve">Margin_Structure!N29</t>
  </si>
  <si>
    <t xml:space="preserve">R&amp;D (GAAP) FY 2022</t>
  </si>
  <si>
    <t xml:space="preserve">P1-1040</t>
  </si>
  <si>
    <t xml:space="preserve">Margin_Structure!Q29</t>
  </si>
  <si>
    <t xml:space="preserve">R&amp;D (non-GAAP) FY 2022</t>
  </si>
  <si>
    <t xml:space="preserve">P1-1041</t>
  </si>
  <si>
    <t xml:space="preserve">Margin_Structure!T29</t>
  </si>
  <si>
    <t xml:space="preserve">S&amp;M (GAAP) FY 2022</t>
  </si>
  <si>
    <t xml:space="preserve">P1-1042</t>
  </si>
  <si>
    <t xml:space="preserve">Margin_Structure!W29</t>
  </si>
  <si>
    <t xml:space="preserve">S&amp;M (non-GAAP) FY 2022</t>
  </si>
  <si>
    <t xml:space="preserve">P1-1043</t>
  </si>
  <si>
    <t xml:space="preserve">Margin_Structure!Z29</t>
  </si>
  <si>
    <t xml:space="preserve">G&amp;A (GAAP) FY 2022</t>
  </si>
  <si>
    <t xml:space="preserve">P1-1044</t>
  </si>
  <si>
    <t xml:space="preserve">Margin_Structure!AC29</t>
  </si>
  <si>
    <t xml:space="preserve">G&amp;A (non-GAAP) FY 2022</t>
  </si>
  <si>
    <t xml:space="preserve">P1-1045</t>
  </si>
  <si>
    <t xml:space="preserve">Margin_Structure!AF29</t>
  </si>
  <si>
    <t xml:space="preserve">Operating income (GAAP) FY 2022</t>
  </si>
  <si>
    <t xml:space="preserve">P1-1046</t>
  </si>
  <si>
    <t xml:space="preserve">Margin_Structure!AI29</t>
  </si>
  <si>
    <t xml:space="preserve">Operating income (non-GAAP) FY 2022</t>
  </si>
  <si>
    <t xml:space="preserve">P1-1047</t>
  </si>
  <si>
    <t xml:space="preserve">Margin_Structure!E30</t>
  </si>
  <si>
    <t xml:space="preserve">Revenue FY 2023</t>
  </si>
  <si>
    <t xml:space="preserve">P1-1048</t>
  </si>
  <si>
    <t xml:space="preserve">Margin_Structure!H30</t>
  </si>
  <si>
    <t xml:space="preserve">Gross profit (GAAP) FY 2023</t>
  </si>
  <si>
    <t xml:space="preserve">P1-1049</t>
  </si>
  <si>
    <t xml:space="preserve">Margin_Structure!K30</t>
  </si>
  <si>
    <t xml:space="preserve">Gross profit (non-GAAP) FY 2023</t>
  </si>
  <si>
    <t xml:space="preserve">P1-1050</t>
  </si>
  <si>
    <t xml:space="preserve">Margin_Structure!N30</t>
  </si>
  <si>
    <t xml:space="preserve">R&amp;D (GAAP) FY 2023</t>
  </si>
  <si>
    <t xml:space="preserve">P1-1051</t>
  </si>
  <si>
    <t xml:space="preserve">Margin_Structure!Q30</t>
  </si>
  <si>
    <t xml:space="preserve">R&amp;D (non-GAAP) FY 2023</t>
  </si>
  <si>
    <t xml:space="preserve">P1-1052</t>
  </si>
  <si>
    <t xml:space="preserve">Margin_Structure!T30</t>
  </si>
  <si>
    <t xml:space="preserve">S&amp;M (GAAP) FY 2023</t>
  </si>
  <si>
    <t xml:space="preserve">P1-1053</t>
  </si>
  <si>
    <t xml:space="preserve">Margin_Structure!W30</t>
  </si>
  <si>
    <t xml:space="preserve">S&amp;M (non-GAAP) FY 2023</t>
  </si>
  <si>
    <t xml:space="preserve">P1-1054</t>
  </si>
  <si>
    <t xml:space="preserve">Margin_Structure!Z30</t>
  </si>
  <si>
    <t xml:space="preserve">G&amp;A (GAAP) FY 2023</t>
  </si>
  <si>
    <t xml:space="preserve">P1-1055</t>
  </si>
  <si>
    <t xml:space="preserve">Margin_Structure!AC30</t>
  </si>
  <si>
    <t xml:space="preserve">G&amp;A (non-GAAP) FY 2023</t>
  </si>
  <si>
    <t xml:space="preserve">P1-1056</t>
  </si>
  <si>
    <t xml:space="preserve">Margin_Structure!AF30</t>
  </si>
  <si>
    <t xml:space="preserve">Operating income (GAAP) FY 2023</t>
  </si>
  <si>
    <t xml:space="preserve">P1-1057</t>
  </si>
  <si>
    <t xml:space="preserve">Margin_Structure!AI30</t>
  </si>
  <si>
    <t xml:space="preserve">Operating income (non-GAAP) FY 2023</t>
  </si>
  <si>
    <t xml:space="preserve">P1-1058</t>
  </si>
  <si>
    <t xml:space="preserve">Margin_Structure!E31</t>
  </si>
  <si>
    <t xml:space="preserve">Revenue FY 2024</t>
  </si>
  <si>
    <t xml:space="preserve">P1-1059</t>
  </si>
  <si>
    <t xml:space="preserve">Margin_Structure!H31</t>
  </si>
  <si>
    <t xml:space="preserve">Gross profit (GAAP) FY 2024</t>
  </si>
  <si>
    <t xml:space="preserve">P1-1060</t>
  </si>
  <si>
    <t xml:space="preserve">Margin_Structure!K31</t>
  </si>
  <si>
    <t xml:space="preserve">Gross profit (non-GAAP) FY 2024</t>
  </si>
  <si>
    <t xml:space="preserve">P1-1061</t>
  </si>
  <si>
    <t xml:space="preserve">Margin_Structure!N31</t>
  </si>
  <si>
    <t xml:space="preserve">R&amp;D (GAAP) FY 2024</t>
  </si>
  <si>
    <t xml:space="preserve">P1-1062</t>
  </si>
  <si>
    <t xml:space="preserve">Margin_Structure!Q31</t>
  </si>
  <si>
    <t xml:space="preserve">R&amp;D (non-GAAP) FY 2024</t>
  </si>
  <si>
    <t xml:space="preserve">P1-1063</t>
  </si>
  <si>
    <t xml:space="preserve">Margin_Structure!T31</t>
  </si>
  <si>
    <t xml:space="preserve">S&amp;M (GAAP) FY 2024</t>
  </si>
  <si>
    <t xml:space="preserve">P1-1064</t>
  </si>
  <si>
    <t xml:space="preserve">Margin_Structure!W31</t>
  </si>
  <si>
    <t xml:space="preserve">S&amp;M (non-GAAP) FY 2024</t>
  </si>
  <si>
    <t xml:space="preserve">P1-1065</t>
  </si>
  <si>
    <t xml:space="preserve">Margin_Structure!Z31</t>
  </si>
  <si>
    <t xml:space="preserve">G&amp;A (GAAP) FY 2024</t>
  </si>
  <si>
    <t xml:space="preserve">P1-1066</t>
  </si>
  <si>
    <t xml:space="preserve">Margin_Structure!AC31</t>
  </si>
  <si>
    <t xml:space="preserve">G&amp;A (non-GAAP) FY 2024</t>
  </si>
  <si>
    <t xml:space="preserve">P1-1067</t>
  </si>
  <si>
    <t xml:space="preserve">Margin_Structure!AF31</t>
  </si>
  <si>
    <t xml:space="preserve">Operating income (GAAP) FY 2024</t>
  </si>
  <si>
    <t xml:space="preserve">P1-1068</t>
  </si>
  <si>
    <t xml:space="preserve">Margin_Structure!AI31</t>
  </si>
  <si>
    <t xml:space="preserve">Operating income (non-GAAP) FY 2024</t>
  </si>
  <si>
    <t xml:space="preserve">P1-1069</t>
  </si>
  <si>
    <t xml:space="preserve">Margin_Structure!E32</t>
  </si>
  <si>
    <t xml:space="preserve">Revenue FY 2025</t>
  </si>
  <si>
    <t xml:space="preserve">P1-1070</t>
  </si>
  <si>
    <t xml:space="preserve">Margin_Structure!H32</t>
  </si>
  <si>
    <t xml:space="preserve">Gross profit (GAAP) FY 2025</t>
  </si>
  <si>
    <t xml:space="preserve">P1-1071</t>
  </si>
  <si>
    <t xml:space="preserve">Margin_Structure!K32</t>
  </si>
  <si>
    <t xml:space="preserve">Gross profit (non-GAAP) FY 2025</t>
  </si>
  <si>
    <t xml:space="preserve">P1-1072</t>
  </si>
  <si>
    <t xml:space="preserve">Margin_Structure!N32</t>
  </si>
  <si>
    <t xml:space="preserve">R&amp;D (GAAP) FY 2025</t>
  </si>
  <si>
    <t xml:space="preserve">P1-1073</t>
  </si>
  <si>
    <t xml:space="preserve">Margin_Structure!Q32</t>
  </si>
  <si>
    <t xml:space="preserve">R&amp;D (non-GAAP) FY 2025</t>
  </si>
  <si>
    <t xml:space="preserve">P1-1074</t>
  </si>
  <si>
    <t xml:space="preserve">Margin_Structure!T32</t>
  </si>
  <si>
    <t xml:space="preserve">S&amp;M (GAAP) FY 2025</t>
  </si>
  <si>
    <t xml:space="preserve">P1-1075</t>
  </si>
  <si>
    <t xml:space="preserve">Margin_Structure!W32</t>
  </si>
  <si>
    <t xml:space="preserve">S&amp;M (non-GAAP) FY 2025</t>
  </si>
  <si>
    <t xml:space="preserve">P1-1076</t>
  </si>
  <si>
    <t xml:space="preserve">Margin_Structure!Z32</t>
  </si>
  <si>
    <t xml:space="preserve">G&amp;A (GAAP) FY 2025</t>
  </si>
  <si>
    <t xml:space="preserve">P1-1077</t>
  </si>
  <si>
    <t xml:space="preserve">Margin_Structure!AC32</t>
  </si>
  <si>
    <t xml:space="preserve">G&amp;A (non-GAAP) FY 2025</t>
  </si>
  <si>
    <t xml:space="preserve">P1-1078</t>
  </si>
  <si>
    <t xml:space="preserve">Margin_Structure!AF32</t>
  </si>
  <si>
    <t xml:space="preserve">Operating income (GAAP) FY 2025</t>
  </si>
  <si>
    <t xml:space="preserve">P1-1079</t>
  </si>
  <si>
    <t xml:space="preserve">Margin_Structure!AI32</t>
  </si>
  <si>
    <t xml:space="preserve">Operating income (non-GAAP) FY 2025</t>
  </si>
  <si>
    <t xml:space="preserve">P1-1080</t>
  </si>
  <si>
    <t xml:space="preserve">Margin_Structure!D53</t>
  </si>
  <si>
    <t xml:space="preserve">Annual</t>
  </si>
  <si>
    <t xml:space="preserve">Commission % FY 2023</t>
  </si>
  <si>
    <t xml:space="preserve">P1-1081</t>
  </si>
  <si>
    <t xml:space="preserve">Margin_Structure!D54</t>
  </si>
  <si>
    <t xml:space="preserve">Commission % FY 2024</t>
  </si>
  <si>
    <t xml:space="preserve">P1-1082</t>
  </si>
  <si>
    <t xml:space="preserve">Margin_Structure!D55</t>
  </si>
  <si>
    <t xml:space="preserve">Commission % FY 2025</t>
  </si>
  <si>
    <t xml:space="preserve">P1-1083</t>
  </si>
  <si>
    <t xml:space="preserve">Margin_Structure!D62</t>
  </si>
  <si>
    <t xml:space="preserve">Commission % AN-2041</t>
  </si>
  <si>
    <t xml:space="preserve">P1-1084</t>
  </si>
  <si>
    <t xml:space="preserve">Margin_Structure!D63</t>
  </si>
  <si>
    <t xml:space="preserve">Commission % AN-2042</t>
  </si>
  <si>
    <t xml:space="preserve">P1-1085</t>
  </si>
  <si>
    <t xml:space="preserve">Margin_Structure!D64</t>
  </si>
  <si>
    <t xml:space="preserve">Commission % AN-2430</t>
  </si>
  <si>
    <t xml:space="preserve">P1-1086</t>
  </si>
  <si>
    <t xml:space="preserve">Margin_Structure!D65</t>
  </si>
  <si>
    <t xml:space="preserve">Partners commission decrease FY2025</t>
  </si>
  <si>
    <t xml:space="preserve">P1-1087</t>
  </si>
  <si>
    <t xml:space="preserve">Cash_Conversion!E6</t>
  </si>
  <si>
    <t xml:space="preserve">P1-1088</t>
  </si>
  <si>
    <t xml:space="preserve">Cash_Conversion!H6</t>
  </si>
  <si>
    <t xml:space="preserve">Non-GAAP operating income Q1 2021</t>
  </si>
  <si>
    <t xml:space="preserve">P1-1089</t>
  </si>
  <si>
    <t xml:space="preserve">Cash_Conversion!K6</t>
  </si>
  <si>
    <t xml:space="preserve">Operating cash flow Q1 2021</t>
  </si>
  <si>
    <t xml:space="preserve">P1-1090</t>
  </si>
  <si>
    <t xml:space="preserve">Cash_Conversion!N6</t>
  </si>
  <si>
    <t xml:space="preserve">Adjusted FCF / FCF Q1 2021</t>
  </si>
  <si>
    <t xml:space="preserve">P1-1091</t>
  </si>
  <si>
    <t xml:space="preserve">Cash_Conversion!E7</t>
  </si>
  <si>
    <t xml:space="preserve">P1-1092</t>
  </si>
  <si>
    <t xml:space="preserve">Cash_Conversion!H7</t>
  </si>
  <si>
    <t xml:space="preserve">Non-GAAP operating income Q2 2021</t>
  </si>
  <si>
    <t xml:space="preserve">P1-1093</t>
  </si>
  <si>
    <t xml:space="preserve">Cash_Conversion!K7</t>
  </si>
  <si>
    <t xml:space="preserve">Operating cash flow Q2 2021</t>
  </si>
  <si>
    <t xml:space="preserve">P1-1094</t>
  </si>
  <si>
    <t xml:space="preserve">Cash_Conversion!N7</t>
  </si>
  <si>
    <t xml:space="preserve">Adjusted FCF / FCF Q2 2021</t>
  </si>
  <si>
    <t xml:space="preserve">P1-1095</t>
  </si>
  <si>
    <t xml:space="preserve">Cash_Conversion!E8</t>
  </si>
  <si>
    <t xml:space="preserve">P1-1096</t>
  </si>
  <si>
    <t xml:space="preserve">Cash_Conversion!H8</t>
  </si>
  <si>
    <t xml:space="preserve">Non-GAAP operating income Q3 2021</t>
  </si>
  <si>
    <t xml:space="preserve">P1-1097</t>
  </si>
  <si>
    <t xml:space="preserve">Cash_Conversion!K8</t>
  </si>
  <si>
    <t xml:space="preserve">Operating cash flow Q3 2021</t>
  </si>
  <si>
    <t xml:space="preserve">P1-1098</t>
  </si>
  <si>
    <t xml:space="preserve">Cash_Conversion!N8</t>
  </si>
  <si>
    <t xml:space="preserve">Adjusted FCF / FCF Q3 2021</t>
  </si>
  <si>
    <t xml:space="preserve">P1-1099</t>
  </si>
  <si>
    <t xml:space="preserve">Cash_Conversion!E9</t>
  </si>
  <si>
    <t xml:space="preserve">P1-1100</t>
  </si>
  <si>
    <t xml:space="preserve">Cash_Conversion!H9</t>
  </si>
  <si>
    <t xml:space="preserve">Non-GAAP operating income Q4 2021</t>
  </si>
  <si>
    <t xml:space="preserve">P1-1101</t>
  </si>
  <si>
    <t xml:space="preserve">Cash_Conversion!K9</t>
  </si>
  <si>
    <t xml:space="preserve">Operating cash flow Q4 2021</t>
  </si>
  <si>
    <t xml:space="preserve">P1-1102</t>
  </si>
  <si>
    <t xml:space="preserve">Cash_Conversion!N9</t>
  </si>
  <si>
    <t xml:space="preserve">Adjusted FCF / FCF Q4 2021</t>
  </si>
  <si>
    <t xml:space="preserve">P1-1103</t>
  </si>
  <si>
    <t xml:space="preserve">Cash_Conversion!E10</t>
  </si>
  <si>
    <t xml:space="preserve">P1-1104</t>
  </si>
  <si>
    <t xml:space="preserve">Cash_Conversion!H10</t>
  </si>
  <si>
    <t xml:space="preserve">Non-GAAP operating income Q1 2022</t>
  </si>
  <si>
    <t xml:space="preserve">P1-1105</t>
  </si>
  <si>
    <t xml:space="preserve">Cash_Conversion!K10</t>
  </si>
  <si>
    <t xml:space="preserve">Operating cash flow Q1 2022</t>
  </si>
  <si>
    <t xml:space="preserve">P1-1106</t>
  </si>
  <si>
    <t xml:space="preserve">Cash_Conversion!N10</t>
  </si>
  <si>
    <t xml:space="preserve">Adjusted FCF / FCF Q1 2022</t>
  </si>
  <si>
    <t xml:space="preserve">P1-1107</t>
  </si>
  <si>
    <t xml:space="preserve">Cash_Conversion!E11</t>
  </si>
  <si>
    <t xml:space="preserve">P1-1108</t>
  </si>
  <si>
    <t xml:space="preserve">Cash_Conversion!H11</t>
  </si>
  <si>
    <t xml:space="preserve">Non-GAAP operating income Q2 2022</t>
  </si>
  <si>
    <t xml:space="preserve">P1-1109</t>
  </si>
  <si>
    <t xml:space="preserve">Cash_Conversion!K11</t>
  </si>
  <si>
    <t xml:space="preserve">Operating cash flow Q2 2022</t>
  </si>
  <si>
    <t xml:space="preserve">P1-1110</t>
  </si>
  <si>
    <t xml:space="preserve">Cash_Conversion!N11</t>
  </si>
  <si>
    <t xml:space="preserve">Adjusted FCF / FCF Q2 2022</t>
  </si>
  <si>
    <t xml:space="preserve">P1-1111</t>
  </si>
  <si>
    <t xml:space="preserve">Cash_Conversion!E12</t>
  </si>
  <si>
    <t xml:space="preserve">P1-1112</t>
  </si>
  <si>
    <t xml:space="preserve">Cash_Conversion!H12</t>
  </si>
  <si>
    <t xml:space="preserve">Non-GAAP operating income Q3 2022</t>
  </si>
  <si>
    <t xml:space="preserve">P1-1113</t>
  </si>
  <si>
    <t xml:space="preserve">Cash_Conversion!K12</t>
  </si>
  <si>
    <t xml:space="preserve">Operating cash flow Q3 2022</t>
  </si>
  <si>
    <t xml:space="preserve">P1-1114</t>
  </si>
  <si>
    <t xml:space="preserve">Cash_Conversion!N12</t>
  </si>
  <si>
    <t xml:space="preserve">Adjusted FCF / FCF Q3 2022</t>
  </si>
  <si>
    <t xml:space="preserve">P1-1115</t>
  </si>
  <si>
    <t xml:space="preserve">Cash_Conversion!E13</t>
  </si>
  <si>
    <t xml:space="preserve">P1-1116</t>
  </si>
  <si>
    <t xml:space="preserve">Cash_Conversion!H13</t>
  </si>
  <si>
    <t xml:space="preserve">Non-GAAP operating income Q4 2022</t>
  </si>
  <si>
    <t xml:space="preserve">P1-1117</t>
  </si>
  <si>
    <t xml:space="preserve">Cash_Conversion!K13</t>
  </si>
  <si>
    <t xml:space="preserve">Operating cash flow Q4 2022</t>
  </si>
  <si>
    <t xml:space="preserve">P1-1118</t>
  </si>
  <si>
    <t xml:space="preserve">Cash_Conversion!N13</t>
  </si>
  <si>
    <t xml:space="preserve">Adjusted FCF / FCF Q4 2022</t>
  </si>
  <si>
    <t xml:space="preserve">P1-1119</t>
  </si>
  <si>
    <t xml:space="preserve">Cash_Conversion!E14</t>
  </si>
  <si>
    <t xml:space="preserve">P1-1120</t>
  </si>
  <si>
    <t xml:space="preserve">Cash_Conversion!H14</t>
  </si>
  <si>
    <t xml:space="preserve">Non-GAAP operating income Q1 2023</t>
  </si>
  <si>
    <t xml:space="preserve">P1-1121</t>
  </si>
  <si>
    <t xml:space="preserve">Cash_Conversion!K14</t>
  </si>
  <si>
    <t xml:space="preserve">Operating cash flow Q1 2023</t>
  </si>
  <si>
    <t xml:space="preserve">P1-1122</t>
  </si>
  <si>
    <t xml:space="preserve">Cash_Conversion!N14</t>
  </si>
  <si>
    <t xml:space="preserve">Adjusted FCF / FCF Q1 2023</t>
  </si>
  <si>
    <t xml:space="preserve">P1-1123</t>
  </si>
  <si>
    <t xml:space="preserve">Cash_Conversion!E15</t>
  </si>
  <si>
    <t xml:space="preserve">P1-1124</t>
  </si>
  <si>
    <t xml:space="preserve">Cash_Conversion!H15</t>
  </si>
  <si>
    <t xml:space="preserve">Non-GAAP operating income Q2 2023</t>
  </si>
  <si>
    <t xml:space="preserve">P1-1125</t>
  </si>
  <si>
    <t xml:space="preserve">Cash_Conversion!K15</t>
  </si>
  <si>
    <t xml:space="preserve">Operating cash flow Q2 2023</t>
  </si>
  <si>
    <t xml:space="preserve">P1-1126</t>
  </si>
  <si>
    <t xml:space="preserve">Cash_Conversion!N15</t>
  </si>
  <si>
    <t xml:space="preserve">Adjusted FCF / FCF Q2 2023</t>
  </si>
  <si>
    <t xml:space="preserve">P1-1127</t>
  </si>
  <si>
    <t xml:space="preserve">Cash_Conversion!E16</t>
  </si>
  <si>
    <t xml:space="preserve">P1-1128</t>
  </si>
  <si>
    <t xml:space="preserve">Cash_Conversion!H16</t>
  </si>
  <si>
    <t xml:space="preserve">Non-GAAP operating income Q3 2023</t>
  </si>
  <si>
    <t xml:space="preserve">P1-1129</t>
  </si>
  <si>
    <t xml:space="preserve">Cash_Conversion!K16</t>
  </si>
  <si>
    <t xml:space="preserve">Operating cash flow Q3 2023</t>
  </si>
  <si>
    <t xml:space="preserve">P1-1130</t>
  </si>
  <si>
    <t xml:space="preserve">Cash_Conversion!N16</t>
  </si>
  <si>
    <t xml:space="preserve">Adjusted FCF / FCF Q3 2023</t>
  </si>
  <si>
    <t xml:space="preserve">P1-1131</t>
  </si>
  <si>
    <t xml:space="preserve">Cash_Conversion!E17</t>
  </si>
  <si>
    <t xml:space="preserve">P1-1132</t>
  </si>
  <si>
    <t xml:space="preserve">Cash_Conversion!H17</t>
  </si>
  <si>
    <t xml:space="preserve">Non-GAAP operating income Q4 2023</t>
  </si>
  <si>
    <t xml:space="preserve">P1-1133</t>
  </si>
  <si>
    <t xml:space="preserve">Cash_Conversion!K17</t>
  </si>
  <si>
    <t xml:space="preserve">Operating cash flow Q4 2023</t>
  </si>
  <si>
    <t xml:space="preserve">P1-1134</t>
  </si>
  <si>
    <t xml:space="preserve">Cash_Conversion!N17</t>
  </si>
  <si>
    <t xml:space="preserve">Adjusted FCF / FCF Q4 2023</t>
  </si>
  <si>
    <t xml:space="preserve">P1-1135</t>
  </si>
  <si>
    <t xml:space="preserve">Cash_Conversion!E18</t>
  </si>
  <si>
    <t xml:space="preserve">P1-1136</t>
  </si>
  <si>
    <t xml:space="preserve">Cash_Conversion!H18</t>
  </si>
  <si>
    <t xml:space="preserve">Non-GAAP operating income Q1 2024</t>
  </si>
  <si>
    <t xml:space="preserve">P1-1137</t>
  </si>
  <si>
    <t xml:space="preserve">Cash_Conversion!K18</t>
  </si>
  <si>
    <t xml:space="preserve">Operating cash flow Q1 2024</t>
  </si>
  <si>
    <t xml:space="preserve">P1-1138</t>
  </si>
  <si>
    <t xml:space="preserve">Cash_Conversion!N18</t>
  </si>
  <si>
    <t xml:space="preserve">Adjusted FCF / FCF Q1 2024</t>
  </si>
  <si>
    <t xml:space="preserve">P1-1139</t>
  </si>
  <si>
    <t xml:space="preserve">Cash_Conversion!E19</t>
  </si>
  <si>
    <t xml:space="preserve">P1-1140</t>
  </si>
  <si>
    <t xml:space="preserve">Cash_Conversion!H19</t>
  </si>
  <si>
    <t xml:space="preserve">Non-GAAP operating income Q2 2024</t>
  </si>
  <si>
    <t xml:space="preserve">P1-1141</t>
  </si>
  <si>
    <t xml:space="preserve">Cash_Conversion!K19</t>
  </si>
  <si>
    <t xml:space="preserve">Operating cash flow Q2 2024</t>
  </si>
  <si>
    <t xml:space="preserve">P1-1142</t>
  </si>
  <si>
    <t xml:space="preserve">Cash_Conversion!N19</t>
  </si>
  <si>
    <t xml:space="preserve">Adjusted FCF / FCF Q2 2024</t>
  </si>
  <si>
    <t xml:space="preserve">P1-1143</t>
  </si>
  <si>
    <t xml:space="preserve">Cash_Conversion!E20</t>
  </si>
  <si>
    <t xml:space="preserve">P1-1144</t>
  </si>
  <si>
    <t xml:space="preserve">Cash_Conversion!H20</t>
  </si>
  <si>
    <t xml:space="preserve">Non-GAAP operating income Q3 2024</t>
  </si>
  <si>
    <t xml:space="preserve">P1-1145</t>
  </si>
  <si>
    <t xml:space="preserve">Cash_Conversion!K20</t>
  </si>
  <si>
    <t xml:space="preserve">Operating cash flow Q3 2024</t>
  </si>
  <si>
    <t xml:space="preserve">P1-1146</t>
  </si>
  <si>
    <t xml:space="preserve">Cash_Conversion!N20</t>
  </si>
  <si>
    <t xml:space="preserve">Adjusted FCF / FCF Q3 2024</t>
  </si>
  <si>
    <t xml:space="preserve">P1-1147</t>
  </si>
  <si>
    <t xml:space="preserve">Cash_Conversion!E21</t>
  </si>
  <si>
    <t xml:space="preserve">P1-1148</t>
  </si>
  <si>
    <t xml:space="preserve">Cash_Conversion!H21</t>
  </si>
  <si>
    <t xml:space="preserve">Non-GAAP operating income Q4 2024</t>
  </si>
  <si>
    <t xml:space="preserve">P1-1149</t>
  </si>
  <si>
    <t xml:space="preserve">Cash_Conversion!K21</t>
  </si>
  <si>
    <t xml:space="preserve">Operating cash flow Q4 2024</t>
  </si>
  <si>
    <t xml:space="preserve">P1-1150</t>
  </si>
  <si>
    <t xml:space="preserve">Cash_Conversion!N21</t>
  </si>
  <si>
    <t xml:space="preserve">Adjusted FCF / FCF Q4 2024</t>
  </si>
  <si>
    <t xml:space="preserve">P1-1151</t>
  </si>
  <si>
    <t xml:space="preserve">Cash_Conversion!E22</t>
  </si>
  <si>
    <t xml:space="preserve">P1-1152</t>
  </si>
  <si>
    <t xml:space="preserve">Cash_Conversion!H22</t>
  </si>
  <si>
    <t xml:space="preserve">Non-GAAP operating income Q1 2025</t>
  </si>
  <si>
    <t xml:space="preserve">P1-1153</t>
  </si>
  <si>
    <t xml:space="preserve">Cash_Conversion!K22</t>
  </si>
  <si>
    <t xml:space="preserve">Operating cash flow Q1 2025</t>
  </si>
  <si>
    <t xml:space="preserve">P1-1154</t>
  </si>
  <si>
    <t xml:space="preserve">Cash_Conversion!N22</t>
  </si>
  <si>
    <t xml:space="preserve">Adjusted FCF / FCF Q1 2025</t>
  </si>
  <si>
    <t xml:space="preserve">P1-1155</t>
  </si>
  <si>
    <t xml:space="preserve">Cash_Conversion!E23</t>
  </si>
  <si>
    <t xml:space="preserve">P1-1156</t>
  </si>
  <si>
    <t xml:space="preserve">Cash_Conversion!H23</t>
  </si>
  <si>
    <t xml:space="preserve">Non-GAAP operating income Q2 2025</t>
  </si>
  <si>
    <t xml:space="preserve">P1-1157</t>
  </si>
  <si>
    <t xml:space="preserve">Cash_Conversion!K23</t>
  </si>
  <si>
    <t xml:space="preserve">Operating cash flow Q2 2025</t>
  </si>
  <si>
    <t xml:space="preserve">P1-1158</t>
  </si>
  <si>
    <t xml:space="preserve">Cash_Conversion!N23</t>
  </si>
  <si>
    <t xml:space="preserve">Adjusted FCF / FCF Q2 2025</t>
  </si>
  <si>
    <t xml:space="preserve">P1-1159</t>
  </si>
  <si>
    <t xml:space="preserve">Cash_Conversion!E24</t>
  </si>
  <si>
    <t xml:space="preserve">P1-1160</t>
  </si>
  <si>
    <t xml:space="preserve">Cash_Conversion!H24</t>
  </si>
  <si>
    <t xml:space="preserve">Non-GAAP operating income Q3 2025</t>
  </si>
  <si>
    <t xml:space="preserve">P1-1161</t>
  </si>
  <si>
    <t xml:space="preserve">Cash_Conversion!K24</t>
  </si>
  <si>
    <t xml:space="preserve">Operating cash flow Q3 2025</t>
  </si>
  <si>
    <t xml:space="preserve">P1-1162</t>
  </si>
  <si>
    <t xml:space="preserve">Cash_Conversion!N24</t>
  </si>
  <si>
    <t xml:space="preserve">Adjusted FCF / FCF Q3 2025</t>
  </si>
  <si>
    <t xml:space="preserve">P1-1163</t>
  </si>
  <si>
    <t xml:space="preserve">Cash_Conversion!E25</t>
  </si>
  <si>
    <t xml:space="preserve">P1-1164</t>
  </si>
  <si>
    <t xml:space="preserve">Cash_Conversion!H25</t>
  </si>
  <si>
    <t xml:space="preserve">Non-GAAP operating income Q4 2025</t>
  </si>
  <si>
    <t xml:space="preserve">P1-1165</t>
  </si>
  <si>
    <t xml:space="preserve">Cash_Conversion!K25</t>
  </si>
  <si>
    <t xml:space="preserve">Operating cash flow Q4 2025</t>
  </si>
  <si>
    <t xml:space="preserve">P1-1166</t>
  </si>
  <si>
    <t xml:space="preserve">Cash_Conversion!N25</t>
  </si>
  <si>
    <t xml:space="preserve">Adjusted FCF / FCF Q4 2025</t>
  </si>
  <si>
    <t xml:space="preserve">P1-1167</t>
  </si>
  <si>
    <t xml:space="preserve">Cash_Conversion!E26</t>
  </si>
  <si>
    <t xml:space="preserve">P1-1168</t>
  </si>
  <si>
    <t xml:space="preserve">Cash_Conversion!H26</t>
  </si>
  <si>
    <t xml:space="preserve">Non-GAAP operating income Q1 2026</t>
  </si>
  <si>
    <t xml:space="preserve">P1-1169</t>
  </si>
  <si>
    <t xml:space="preserve">Cash_Conversion!K26</t>
  </si>
  <si>
    <t xml:space="preserve">Operating cash flow Q1 2026</t>
  </si>
  <si>
    <t xml:space="preserve">P1-1170</t>
  </si>
  <si>
    <t xml:space="preserve">Cash_Conversion!N26</t>
  </si>
  <si>
    <t xml:space="preserve">Adjusted FCF / FCF Q1 2026</t>
  </si>
  <si>
    <t xml:space="preserve">P1-1171</t>
  </si>
  <si>
    <t xml:space="preserve">Cash_Conversion!E27</t>
  </si>
  <si>
    <t xml:space="preserve">P1-1172</t>
  </si>
  <si>
    <t xml:space="preserve">Cash_Conversion!H27</t>
  </si>
  <si>
    <t xml:space="preserve">Non-GAAP operating income Q2 2026</t>
  </si>
  <si>
    <t xml:space="preserve">P1-1173</t>
  </si>
  <si>
    <t xml:space="preserve">Cash_Conversion!K27</t>
  </si>
  <si>
    <t xml:space="preserve">Operating cash flow Q2 2026</t>
  </si>
  <si>
    <t xml:space="preserve">P1-1174</t>
  </si>
  <si>
    <t xml:space="preserve">Cash_Conversion!N27</t>
  </si>
  <si>
    <t xml:space="preserve">Adjusted FCF / FCF Q2 2026</t>
  </si>
  <si>
    <t xml:space="preserve">P1-1175</t>
  </si>
  <si>
    <t xml:space="preserve">Cash_Conversion!E28</t>
  </si>
  <si>
    <t xml:space="preserve">P1-1176</t>
  </si>
  <si>
    <t xml:space="preserve">Cash_Conversion!H28</t>
  </si>
  <si>
    <t xml:space="preserve">Non-GAAP operating income FY 2021</t>
  </si>
  <si>
    <t xml:space="preserve">P1-1177</t>
  </si>
  <si>
    <t xml:space="preserve">Cash_Conversion!K28</t>
  </si>
  <si>
    <t xml:space="preserve">Operating cash flow FY 2021</t>
  </si>
  <si>
    <t xml:space="preserve">P1-1178</t>
  </si>
  <si>
    <t xml:space="preserve">Cash_Conversion!N28</t>
  </si>
  <si>
    <t xml:space="preserve">Adjusted FCF / FCF FY 2021</t>
  </si>
  <si>
    <t xml:space="preserve">P1-1179</t>
  </si>
  <si>
    <t xml:space="preserve">Cash_Conversion!E29</t>
  </si>
  <si>
    <t xml:space="preserve">P1-1180</t>
  </si>
  <si>
    <t xml:space="preserve">Cash_Conversion!H29</t>
  </si>
  <si>
    <t xml:space="preserve">Non-GAAP operating income FY 2022</t>
  </si>
  <si>
    <t xml:space="preserve">P1-1181</t>
  </si>
  <si>
    <t xml:space="preserve">Cash_Conversion!K29</t>
  </si>
  <si>
    <t xml:space="preserve">Operating cash flow FY 2022</t>
  </si>
  <si>
    <t xml:space="preserve">P1-1182</t>
  </si>
  <si>
    <t xml:space="preserve">Cash_Conversion!N29</t>
  </si>
  <si>
    <t xml:space="preserve">Adjusted FCF / FCF FY 2022</t>
  </si>
  <si>
    <t xml:space="preserve">P1-1183</t>
  </si>
  <si>
    <t xml:space="preserve">Cash_Conversion!E30</t>
  </si>
  <si>
    <t xml:space="preserve">P1-1184</t>
  </si>
  <si>
    <t xml:space="preserve">Cash_Conversion!H30</t>
  </si>
  <si>
    <t xml:space="preserve">Non-GAAP operating income FY 2023</t>
  </si>
  <si>
    <t xml:space="preserve">P1-1185</t>
  </si>
  <si>
    <t xml:space="preserve">Cash_Conversion!K30</t>
  </si>
  <si>
    <t xml:space="preserve">Operating cash flow FY 2023</t>
  </si>
  <si>
    <t xml:space="preserve">P1-1186</t>
  </si>
  <si>
    <t xml:space="preserve">Cash_Conversion!N30</t>
  </si>
  <si>
    <t xml:space="preserve">Adjusted FCF / FCF FY 2023</t>
  </si>
  <si>
    <t xml:space="preserve">P1-1187</t>
  </si>
  <si>
    <t xml:space="preserve">Cash_Conversion!E31</t>
  </si>
  <si>
    <t xml:space="preserve">P1-1188</t>
  </si>
  <si>
    <t xml:space="preserve">Cash_Conversion!H31</t>
  </si>
  <si>
    <t xml:space="preserve">Non-GAAP operating income FY 2024</t>
  </si>
  <si>
    <t xml:space="preserve">P1-1189</t>
  </si>
  <si>
    <t xml:space="preserve">Cash_Conversion!K31</t>
  </si>
  <si>
    <t xml:space="preserve">Operating cash flow FY 2024</t>
  </si>
  <si>
    <t xml:space="preserve">P1-1190</t>
  </si>
  <si>
    <t xml:space="preserve">Cash_Conversion!N31</t>
  </si>
  <si>
    <t xml:space="preserve">Adjusted FCF / FCF FY 2024</t>
  </si>
  <si>
    <t xml:space="preserve">P1-1191</t>
  </si>
  <si>
    <t xml:space="preserve">Cash_Conversion!E32</t>
  </si>
  <si>
    <t xml:space="preserve">P1-1192</t>
  </si>
  <si>
    <t xml:space="preserve">Cash_Conversion!H32</t>
  </si>
  <si>
    <t xml:space="preserve">Non-GAAP operating income FY 2025</t>
  </si>
  <si>
    <t xml:space="preserve">P1-1193</t>
  </si>
  <si>
    <t xml:space="preserve">Cash_Conversion!K32</t>
  </si>
  <si>
    <t xml:space="preserve">Operating cash flow FY 2025</t>
  </si>
  <si>
    <t xml:space="preserve">P1-1194</t>
  </si>
  <si>
    <t xml:space="preserve">Cash_Conversion!N32</t>
  </si>
  <si>
    <t xml:space="preserve">Adjusted FCF / FCF FY 2025</t>
  </si>
  <si>
    <t xml:space="preserve">P1-1195</t>
  </si>
  <si>
    <t xml:space="preserve">Cash_Conversion!B48</t>
  </si>
  <si>
    <t xml:space="preserve">Bridge Opening cash and cash equivalents Q4 2025</t>
  </si>
  <si>
    <t xml:space="preserve">P1-1196</t>
  </si>
  <si>
    <t xml:space="preserve">Cash_Conversion!E48</t>
  </si>
  <si>
    <t xml:space="preserve">Bridge Opening cash and cash equivalents Q1 2026</t>
  </si>
  <si>
    <t xml:space="preserve">P1-1197</t>
  </si>
  <si>
    <t xml:space="preserve">Cash_Conversion!B49</t>
  </si>
  <si>
    <t xml:space="preserve">Bridge Net cash provided by operating activities Q1 2026</t>
  </si>
  <si>
    <t xml:space="preserve">P1-1198</t>
  </si>
  <si>
    <t xml:space="preserve">Cash_Conversion!E49</t>
  </si>
  <si>
    <t xml:space="preserve">Bridge Net cash provided by operating activities Q2 2026</t>
  </si>
  <si>
    <t xml:space="preserve">P1-1199</t>
  </si>
  <si>
    <t xml:space="preserve">Cash_Conversion!B50</t>
  </si>
  <si>
    <t xml:space="preserve">Bridge Purchase of property and equipment Q1 2026</t>
  </si>
  <si>
    <t xml:space="preserve">P1-1200</t>
  </si>
  <si>
    <t xml:space="preserve">Cash_Conversion!E50</t>
  </si>
  <si>
    <t xml:space="preserve">Bridge Purchase of property and equipment Q2 2026</t>
  </si>
  <si>
    <t xml:space="preserve">P1-1201</t>
  </si>
  <si>
    <t xml:space="preserve">Cash_Conversion!B51</t>
  </si>
  <si>
    <t xml:space="preserve">Bridge Capitalized software development costs Q1 2026</t>
  </si>
  <si>
    <t xml:space="preserve">P1-1202</t>
  </si>
  <si>
    <t xml:space="preserve">Cash_Conversion!E51</t>
  </si>
  <si>
    <t xml:space="preserve">Bridge Capitalized software development costs Q2 2026</t>
  </si>
  <si>
    <t xml:space="preserve">P1-1203</t>
  </si>
  <si>
    <t xml:space="preserve">Cash_Conversion!B52</t>
  </si>
  <si>
    <t xml:space="preserve">Bridge Repurchase of ordinary shares Q1 2026</t>
  </si>
  <si>
    <t xml:space="preserve">P1-1204</t>
  </si>
  <si>
    <t xml:space="preserve">Cash_Conversion!E52</t>
  </si>
  <si>
    <t xml:space="preserve">Bridge Repurchase of ordinary shares Q2 2026</t>
  </si>
  <si>
    <t xml:space="preserve">P1-1205</t>
  </si>
  <si>
    <t xml:space="preserve">Cash_Conversion!B54</t>
  </si>
  <si>
    <t xml:space="preserve">Bridge closing Q1 2026</t>
  </si>
  <si>
    <t xml:space="preserve">P1-1206</t>
  </si>
  <si>
    <t xml:space="preserve">Cash_Conversion!E54</t>
  </si>
  <si>
    <t xml:space="preserve">Bridge closing Q2 2026</t>
  </si>
  <si>
    <t xml:space="preserve">P1-1207</t>
  </si>
  <si>
    <t xml:space="preserve">Cash_Conversion!B57</t>
  </si>
  <si>
    <t xml:space="preserve">P1-1208</t>
  </si>
  <si>
    <t xml:space="preserve">Cash_Conversion!B58</t>
  </si>
  <si>
    <t xml:space="preserve">P1-1209</t>
  </si>
  <si>
    <t xml:space="preserve">Cash_Conversion!B59</t>
  </si>
  <si>
    <t xml:space="preserve">P1-1210</t>
  </si>
  <si>
    <t xml:space="preserve">Cash_Conversion!B62</t>
  </si>
  <si>
    <t xml:space="preserve">P1-1211</t>
  </si>
  <si>
    <t xml:space="preserve">Cash_Conversion!B63</t>
  </si>
  <si>
    <t xml:space="preserve">P1-1212</t>
  </si>
  <si>
    <t xml:space="preserve">Deceleration!B6</t>
  </si>
  <si>
    <t xml:space="preserve">P1-1213</t>
  </si>
  <si>
    <t xml:space="preserve">Deceleration!B7</t>
  </si>
  <si>
    <t xml:space="preserve">P1-1214</t>
  </si>
  <si>
    <t xml:space="preserve">Deceleration!B8</t>
  </si>
  <si>
    <t xml:space="preserve">P1-1215</t>
  </si>
  <si>
    <t xml:space="preserve">Deceleration!B9</t>
  </si>
  <si>
    <t xml:space="preserve">P1-1216</t>
  </si>
  <si>
    <t xml:space="preserve">Deceleration!B10</t>
  </si>
  <si>
    <t xml:space="preserve">P1-1217</t>
  </si>
  <si>
    <t xml:space="preserve">Deceleration!H10</t>
  </si>
  <si>
    <t xml:space="preserve">P1-1218</t>
  </si>
  <si>
    <t xml:space="preserve">Deceleration!B11</t>
  </si>
  <si>
    <t xml:space="preserve">P1-1219</t>
  </si>
  <si>
    <t xml:space="preserve">Deceleration!H11</t>
  </si>
  <si>
    <t xml:space="preserve">P1-1220</t>
  </si>
  <si>
    <t xml:space="preserve">Deceleration!B12</t>
  </si>
  <si>
    <t xml:space="preserve">P1-1221</t>
  </si>
  <si>
    <t xml:space="preserve">Deceleration!H12</t>
  </si>
  <si>
    <t xml:space="preserve">P1-1222</t>
  </si>
  <si>
    <t xml:space="preserve">Deceleration!B13</t>
  </si>
  <si>
    <t xml:space="preserve">P1-1223</t>
  </si>
  <si>
    <t xml:space="preserve">Deceleration!H13</t>
  </si>
  <si>
    <t xml:space="preserve">P1-1224</t>
  </si>
  <si>
    <t xml:space="preserve">Deceleration!B14</t>
  </si>
  <si>
    <t xml:space="preserve">P1-1225</t>
  </si>
  <si>
    <t xml:space="preserve">Deceleration!H14</t>
  </si>
  <si>
    <t xml:space="preserve">P1-1226</t>
  </si>
  <si>
    <t xml:space="preserve">Deceleration!B15</t>
  </si>
  <si>
    <t xml:space="preserve">P1-1227</t>
  </si>
  <si>
    <t xml:space="preserve">Deceleration!H15</t>
  </si>
  <si>
    <t xml:space="preserve">P1-1228</t>
  </si>
  <si>
    <t xml:space="preserve">Deceleration!B16</t>
  </si>
  <si>
    <t xml:space="preserve">P1-1229</t>
  </si>
  <si>
    <t xml:space="preserve">Deceleration!H16</t>
  </si>
  <si>
    <t xml:space="preserve">P1-1230</t>
  </si>
  <si>
    <t xml:space="preserve">Deceleration!B17</t>
  </si>
  <si>
    <t xml:space="preserve">P1-1231</t>
  </si>
  <si>
    <t xml:space="preserve">Deceleration!H17</t>
  </si>
  <si>
    <t xml:space="preserve">P1-1232</t>
  </si>
  <si>
    <t xml:space="preserve">Deceleration!B18</t>
  </si>
  <si>
    <t xml:space="preserve">P1-1233</t>
  </si>
  <si>
    <t xml:space="preserve">Deceleration!H18</t>
  </si>
  <si>
    <t xml:space="preserve">P1-1234</t>
  </si>
  <si>
    <t xml:space="preserve">Deceleration!B19</t>
  </si>
  <si>
    <t xml:space="preserve">P1-1235</t>
  </si>
  <si>
    <t xml:space="preserve">Deceleration!H19</t>
  </si>
  <si>
    <t xml:space="preserve">P1-1236</t>
  </si>
  <si>
    <t xml:space="preserve">Deceleration!B20</t>
  </si>
  <si>
    <t xml:space="preserve">P1-1237</t>
  </si>
  <si>
    <t xml:space="preserve">Deceleration!B21</t>
  </si>
  <si>
    <t xml:space="preserve">P1-1238</t>
  </si>
  <si>
    <t xml:space="preserve">Deceleration!B22</t>
  </si>
  <si>
    <t xml:space="preserve">P1-1239</t>
  </si>
  <si>
    <t xml:space="preserve">Deceleration!B23</t>
  </si>
  <si>
    <t xml:space="preserve">P1-1240</t>
  </si>
  <si>
    <t xml:space="preserve">Deceleration!B24</t>
  </si>
  <si>
    <t xml:space="preserve">P1-1241</t>
  </si>
  <si>
    <t xml:space="preserve">Deceleration!B25</t>
  </si>
  <si>
    <t xml:space="preserve">P1-1242</t>
  </si>
  <si>
    <t xml:space="preserve">Deceleration!B26</t>
  </si>
  <si>
    <t xml:space="preserve">P1-1243</t>
  </si>
  <si>
    <t xml:space="preserve">Deceleration!B27</t>
  </si>
  <si>
    <t xml:space="preserve">P1-1244</t>
  </si>
  <si>
    <t xml:space="preserve">Deceleration!H27</t>
  </si>
  <si>
    <t xml:space="preserve">P1-1245</t>
  </si>
  <si>
    <t xml:space="preserve">Deceleration!B33</t>
  </si>
  <si>
    <t xml:space="preserve">Q3 2026 revenue guidance low</t>
  </si>
  <si>
    <t xml:space="preserve">P1-1246</t>
  </si>
  <si>
    <t xml:space="preserve">Deceleration!D33</t>
  </si>
  <si>
    <t xml:space="preserve">Q3 2026 revenue guidance high</t>
  </si>
  <si>
    <t xml:space="preserve">P1-1247</t>
  </si>
  <si>
    <t xml:space="preserve">Deceleration!C34</t>
  </si>
  <si>
    <t xml:space="preserve">P1-1248</t>
  </si>
  <si>
    <t xml:space="preserve">Deceleration!B36</t>
  </si>
  <si>
    <t xml:space="preserve">FY2026 revenue guidance (Aug 10, 2026 vintage) low</t>
  </si>
  <si>
    <t xml:space="preserve">P1-1249</t>
  </si>
  <si>
    <t xml:space="preserve">Deceleration!D36</t>
  </si>
  <si>
    <t xml:space="preserve">FY2026 revenue guidance (Aug 10, 2026 vintage) high</t>
  </si>
  <si>
    <t xml:space="preserve">P1-1250</t>
  </si>
  <si>
    <t xml:space="preserve">Deceleration!C37</t>
  </si>
  <si>
    <t xml:space="preserve">P1-1251</t>
  </si>
  <si>
    <t xml:space="preserve">Deceleration!C39</t>
  </si>
  <si>
    <t xml:space="preserve">QA-0038</t>
  </si>
  <si>
    <t xml:space="preserve">P1-1252</t>
  </si>
  <si>
    <t xml:space="preserve">Deceleration!C40</t>
  </si>
  <si>
    <t xml:space="preserve">QA-0031</t>
  </si>
  <si>
    <t xml:space="preserve">P1-1253</t>
  </si>
  <si>
    <t xml:space="preserve">Deceleration!C46</t>
  </si>
  <si>
    <t xml:space="preserve">P1-1254</t>
  </si>
  <si>
    <t xml:space="preserve">Deceleration!B50</t>
  </si>
  <si>
    <t xml:space="preserve">FY2026 non-GAAP operating income guidance (Aug 10, 2026) low</t>
  </si>
  <si>
    <t xml:space="preserve">P1-1255</t>
  </si>
  <si>
    <t xml:space="preserve">Deceleration!D50</t>
  </si>
  <si>
    <t xml:space="preserve">FY2026 non-GAAP operating income guidance (Aug 10, 2026) high</t>
  </si>
  <si>
    <t xml:space="preserve">P1-1256</t>
  </si>
  <si>
    <t xml:space="preserve">Deceleration!C51</t>
  </si>
  <si>
    <t xml:space="preserve">QA-0702</t>
  </si>
  <si>
    <t xml:space="preserve">P1-1257</t>
  </si>
  <si>
    <t xml:space="preserve">Deceleration!B54</t>
  </si>
  <si>
    <t xml:space="preserve">Q3 2026 non-GAAP operating income guidance low</t>
  </si>
  <si>
    <t xml:space="preserve">P1-1258</t>
  </si>
  <si>
    <t xml:space="preserve">Deceleration!D54</t>
  </si>
  <si>
    <t xml:space="preserve">Q3 2026 non-GAAP operating income guidance high</t>
  </si>
  <si>
    <t xml:space="preserve">P1-1259</t>
  </si>
  <si>
    <t xml:space="preserve">Deceleration!B57</t>
  </si>
  <si>
    <t xml:space="preserve">FY2026 adjusted FCF guidance (Aug 10, 2026) low</t>
  </si>
  <si>
    <t xml:space="preserve">P1-1260</t>
  </si>
  <si>
    <t xml:space="preserve">Deceleration!D57</t>
  </si>
  <si>
    <t xml:space="preserve">FY2026 adjusted FCF guidance (Aug 10, 2026) high</t>
  </si>
  <si>
    <t xml:space="preserve">P1-1261</t>
  </si>
  <si>
    <t xml:space="preserve">Deceleration!C58</t>
  </si>
  <si>
    <t xml:space="preserve">QA-1104</t>
  </si>
  <si>
    <t xml:space="preserve">P1-1262</t>
  </si>
  <si>
    <t xml:space="preserve">Deceleration!C61</t>
  </si>
  <si>
    <t xml:space="preserve">P1-1263</t>
  </si>
  <si>
    <t xml:space="preserve">Deceleration!C62</t>
  </si>
  <si>
    <t xml:space="preserve">QA-1097</t>
  </si>
  <si>
    <t xml:space="preserve">P1-1264</t>
  </si>
  <si>
    <t xml:space="preserve">Deceleration!B67</t>
  </si>
  <si>
    <t xml:space="preserve">FY2026 revenue guidance (May 11, 2026 vintage) low</t>
  </si>
  <si>
    <t xml:space="preserve">P1-1265</t>
  </si>
  <si>
    <t xml:space="preserve">Deceleration!D67</t>
  </si>
  <si>
    <t xml:space="preserve">FY2026 revenue guidance (May 11, 2026 vintage) high</t>
  </si>
  <si>
    <t xml:space="preserve">P1-1266</t>
  </si>
  <si>
    <t xml:space="preserve">Deceleration!C68</t>
  </si>
  <si>
    <t xml:space="preserve">P1-1267</t>
  </si>
  <si>
    <t xml:space="preserve">Deceleration!B69</t>
  </si>
  <si>
    <t xml:space="preserve">Q2 2026 revenue guidance (May 11, 2026) low</t>
  </si>
  <si>
    <t xml:space="preserve">P1-1268</t>
  </si>
  <si>
    <t xml:space="preserve">Deceleration!D69</t>
  </si>
  <si>
    <t xml:space="preserve">Q2 2026 revenue guidance (May 11, 2026) high</t>
  </si>
  <si>
    <t xml:space="preserve">P1-1269</t>
  </si>
  <si>
    <t xml:space="preserve">Deceleration!B72</t>
  </si>
  <si>
    <t xml:space="preserve">FY2026 non-GAAP operating income guidance (May 11, 2026 vintage) low</t>
  </si>
  <si>
    <t xml:space="preserve">P1-1270</t>
  </si>
  <si>
    <t xml:space="preserve">Deceleration!D72</t>
  </si>
  <si>
    <t xml:space="preserve">FY2026 non-GAAP operating income guidance (May 11, 2026 vintage) high</t>
  </si>
  <si>
    <t xml:space="preserve">P1-1271</t>
  </si>
  <si>
    <t xml:space="preserve">Deceleration!C73</t>
  </si>
  <si>
    <t xml:space="preserve">P1-1272</t>
  </si>
  <si>
    <t xml:space="preserve">Deceleration!B74</t>
  </si>
  <si>
    <t xml:space="preserve">Q2 2026 non-GAAP operating income guidance (May 11, 2026) low</t>
  </si>
  <si>
    <t xml:space="preserve">P1-1273</t>
  </si>
  <si>
    <t xml:space="preserve">Deceleration!D74</t>
  </si>
  <si>
    <t xml:space="preserve">Q2 2026 non-GAAP operating income guidance (May 11, 2026) high</t>
  </si>
  <si>
    <t xml:space="preserve">P1-1274</t>
  </si>
  <si>
    <t xml:space="preserve">Deceleration!B79</t>
  </si>
  <si>
    <t xml:space="preserve">FY2026 non-GAAP operating margin, July 22 "Current" (~15%) low</t>
  </si>
  <si>
    <t xml:space="preserve">P1-1275</t>
  </si>
  <si>
    <t xml:space="preserve">Deceleration!D79</t>
  </si>
  <si>
    <t xml:space="preserve">FY2026 non-GAAP operating margin, July 22 "Current" (~15%) high</t>
  </si>
  <si>
    <t xml:space="preserve">P1-1276</t>
  </si>
  <si>
    <t xml:space="preserve">Revenue row 7: low &lt;= midpoint &lt;= high (1 = violation)</t>
  </si>
  <si>
    <t xml:space="preserve">(internal)</t>
  </si>
  <si>
    <t xml:space="preserve">IF(AND('Guidance_Accuracy'!F7&lt;='Guidance_Accuracy'!H7,'Guidance_Accuracy'!H7&lt;='Guidance_Accuracy'!G7),0,1)</t>
  </si>
  <si>
    <t xml:space="preserve">P1-1277</t>
  </si>
  <si>
    <t xml:space="preserve">Revenue row 7: exactly one outcome flag set</t>
  </si>
  <si>
    <t xml:space="preserve">'Guidance_Accuracy'!P7+'Guidance_Accuracy'!Q7+'Guidance_Accuracy'!R7-1</t>
  </si>
  <si>
    <t xml:space="preserve">P1-1278</t>
  </si>
  <si>
    <t xml:space="preserve">Revenue row 8: low &lt;= midpoint &lt;= high (1 = violation)</t>
  </si>
  <si>
    <t xml:space="preserve">IF(AND('Guidance_Accuracy'!F8&lt;='Guidance_Accuracy'!H8,'Guidance_Accuracy'!H8&lt;='Guidance_Accuracy'!G8),0,1)</t>
  </si>
  <si>
    <t xml:space="preserve">P1-1279</t>
  </si>
  <si>
    <t xml:space="preserve">Revenue row 8: exactly one outcome flag set</t>
  </si>
  <si>
    <t xml:space="preserve">'Guidance_Accuracy'!P8+'Guidance_Accuracy'!Q8+'Guidance_Accuracy'!R8-1</t>
  </si>
  <si>
    <t xml:space="preserve">P1-1280</t>
  </si>
  <si>
    <t xml:space="preserve">Revenue row 9: low &lt;= midpoint &lt;= high (1 = violation)</t>
  </si>
  <si>
    <t xml:space="preserve">IF(AND('Guidance_Accuracy'!F9&lt;='Guidance_Accuracy'!H9,'Guidance_Accuracy'!H9&lt;='Guidance_Accuracy'!G9),0,1)</t>
  </si>
  <si>
    <t xml:space="preserve">P1-1281</t>
  </si>
  <si>
    <t xml:space="preserve">Revenue row 9: exactly one outcome flag set</t>
  </si>
  <si>
    <t xml:space="preserve">'Guidance_Accuracy'!P9+'Guidance_Accuracy'!Q9+'Guidance_Accuracy'!R9-1</t>
  </si>
  <si>
    <t xml:space="preserve">P1-1282</t>
  </si>
  <si>
    <t xml:space="preserve">Revenue row 10: low &lt;= midpoint &lt;= high (1 = violation)</t>
  </si>
  <si>
    <t xml:space="preserve">IF(AND('Guidance_Accuracy'!F10&lt;='Guidance_Accuracy'!H10,'Guidance_Accuracy'!H10&lt;='Guidance_Accuracy'!G10),0,1)</t>
  </si>
  <si>
    <t xml:space="preserve">P1-1283</t>
  </si>
  <si>
    <t xml:space="preserve">Revenue row 10: exactly one outcome flag set</t>
  </si>
  <si>
    <t xml:space="preserve">'Guidance_Accuracy'!P10+'Guidance_Accuracy'!Q10+'Guidance_Accuracy'!R10-1</t>
  </si>
  <si>
    <t xml:space="preserve">P1-1284</t>
  </si>
  <si>
    <t xml:space="preserve">Revenue row 11: low &lt;= midpoint &lt;= high (1 = violation)</t>
  </si>
  <si>
    <t xml:space="preserve">IF(AND('Guidance_Accuracy'!F11&lt;='Guidance_Accuracy'!H11,'Guidance_Accuracy'!H11&lt;='Guidance_Accuracy'!G11),0,1)</t>
  </si>
  <si>
    <t xml:space="preserve">P1-1285</t>
  </si>
  <si>
    <t xml:space="preserve">Revenue row 11: exactly one outcome flag set</t>
  </si>
  <si>
    <t xml:space="preserve">'Guidance_Accuracy'!P11+'Guidance_Accuracy'!Q11+'Guidance_Accuracy'!R11-1</t>
  </si>
  <si>
    <t xml:space="preserve">P1-1286</t>
  </si>
  <si>
    <t xml:space="preserve">Revenue row 12: low &lt;= midpoint &lt;= high (1 = violation)</t>
  </si>
  <si>
    <t xml:space="preserve">IF(AND('Guidance_Accuracy'!F12&lt;='Guidance_Accuracy'!H12,'Guidance_Accuracy'!H12&lt;='Guidance_Accuracy'!G12),0,1)</t>
  </si>
  <si>
    <t xml:space="preserve">P1-1287</t>
  </si>
  <si>
    <t xml:space="preserve">Revenue row 12: exactly one outcome flag set</t>
  </si>
  <si>
    <t xml:space="preserve">'Guidance_Accuracy'!P12+'Guidance_Accuracy'!Q12+'Guidance_Accuracy'!R12-1</t>
  </si>
  <si>
    <t xml:space="preserve">P1-1288</t>
  </si>
  <si>
    <t xml:space="preserve">Revenue row 13: low &lt;= midpoint &lt;= high (1 = violation)</t>
  </si>
  <si>
    <t xml:space="preserve">IF(AND('Guidance_Accuracy'!F13&lt;='Guidance_Accuracy'!H13,'Guidance_Accuracy'!H13&lt;='Guidance_Accuracy'!G13),0,1)</t>
  </si>
  <si>
    <t xml:space="preserve">P1-1289</t>
  </si>
  <si>
    <t xml:space="preserve">Revenue row 13: exactly one outcome flag set</t>
  </si>
  <si>
    <t xml:space="preserve">'Guidance_Accuracy'!P13+'Guidance_Accuracy'!Q13+'Guidance_Accuracy'!R13-1</t>
  </si>
  <si>
    <t xml:space="preserve">P1-1290</t>
  </si>
  <si>
    <t xml:space="preserve">Revenue row 14: low &lt;= midpoint &lt;= high (1 = violation)</t>
  </si>
  <si>
    <t xml:space="preserve">IF(AND('Guidance_Accuracy'!F14&lt;='Guidance_Accuracy'!H14,'Guidance_Accuracy'!H14&lt;='Guidance_Accuracy'!G14),0,1)</t>
  </si>
  <si>
    <t xml:space="preserve">P1-1291</t>
  </si>
  <si>
    <t xml:space="preserve">Revenue row 14: exactly one outcome flag set</t>
  </si>
  <si>
    <t xml:space="preserve">'Guidance_Accuracy'!P14+'Guidance_Accuracy'!Q14+'Guidance_Accuracy'!R14-1</t>
  </si>
  <si>
    <t xml:space="preserve">P1-1292</t>
  </si>
  <si>
    <t xml:space="preserve">Revenue row 15: low &lt;= midpoint &lt;= high (1 = violation)</t>
  </si>
  <si>
    <t xml:space="preserve">IF(AND('Guidance_Accuracy'!F15&lt;='Guidance_Accuracy'!H15,'Guidance_Accuracy'!H15&lt;='Guidance_Accuracy'!G15),0,1)</t>
  </si>
  <si>
    <t xml:space="preserve">P1-1293</t>
  </si>
  <si>
    <t xml:space="preserve">Revenue row 15: exactly one outcome flag set</t>
  </si>
  <si>
    <t xml:space="preserve">'Guidance_Accuracy'!P15+'Guidance_Accuracy'!Q15+'Guidance_Accuracy'!R15-1</t>
  </si>
  <si>
    <t xml:space="preserve">P1-1294</t>
  </si>
  <si>
    <t xml:space="preserve">Revenue row 16: low &lt;= midpoint &lt;= high (1 = violation)</t>
  </si>
  <si>
    <t xml:space="preserve">IF(AND('Guidance_Accuracy'!F16&lt;='Guidance_Accuracy'!H16,'Guidance_Accuracy'!H16&lt;='Guidance_Accuracy'!G16),0,1)</t>
  </si>
  <si>
    <t xml:space="preserve">P1-1295</t>
  </si>
  <si>
    <t xml:space="preserve">Revenue row 16: exactly one outcome flag set</t>
  </si>
  <si>
    <t xml:space="preserve">'Guidance_Accuracy'!P16+'Guidance_Accuracy'!Q16+'Guidance_Accuracy'!R16-1</t>
  </si>
  <si>
    <t xml:space="preserve">P1-1296</t>
  </si>
  <si>
    <t xml:space="preserve">Revenue row 17: low &lt;= midpoint &lt;= high (1 = violation)</t>
  </si>
  <si>
    <t xml:space="preserve">IF(AND('Guidance_Accuracy'!F17&lt;='Guidance_Accuracy'!H17,'Guidance_Accuracy'!H17&lt;='Guidance_Accuracy'!G17),0,1)</t>
  </si>
  <si>
    <t xml:space="preserve">P1-1297</t>
  </si>
  <si>
    <t xml:space="preserve">Revenue row 17: exactly one outcome flag set</t>
  </si>
  <si>
    <t xml:space="preserve">'Guidance_Accuracy'!P17+'Guidance_Accuracy'!Q17+'Guidance_Accuracy'!R17-1</t>
  </si>
  <si>
    <t xml:space="preserve">P1-1298</t>
  </si>
  <si>
    <t xml:space="preserve">Revenue row 18: low &lt;= midpoint &lt;= high (1 = violation)</t>
  </si>
  <si>
    <t xml:space="preserve">IF(AND('Guidance_Accuracy'!F18&lt;='Guidance_Accuracy'!H18,'Guidance_Accuracy'!H18&lt;='Guidance_Accuracy'!G18),0,1)</t>
  </si>
  <si>
    <t xml:space="preserve">P1-1299</t>
  </si>
  <si>
    <t xml:space="preserve">Revenue row 18: exactly one outcome flag set</t>
  </si>
  <si>
    <t xml:space="preserve">'Guidance_Accuracy'!P18+'Guidance_Accuracy'!Q18+'Guidance_Accuracy'!R18-1</t>
  </si>
  <si>
    <t xml:space="preserve">P1-1300</t>
  </si>
  <si>
    <t xml:space="preserve">Revenue row 19: low &lt;= midpoint &lt;= high (1 = violation)</t>
  </si>
  <si>
    <t xml:space="preserve">IF(AND('Guidance_Accuracy'!F19&lt;='Guidance_Accuracy'!H19,'Guidance_Accuracy'!H19&lt;='Guidance_Accuracy'!G19),0,1)</t>
  </si>
  <si>
    <t xml:space="preserve">P1-1301</t>
  </si>
  <si>
    <t xml:space="preserve">Revenue row 19: exactly one outcome flag set</t>
  </si>
  <si>
    <t xml:space="preserve">'Guidance_Accuracy'!P19+'Guidance_Accuracy'!Q19+'Guidance_Accuracy'!R19-1</t>
  </si>
  <si>
    <t xml:space="preserve">P1-1302</t>
  </si>
  <si>
    <t xml:space="preserve">Revenue row 20: low &lt;= midpoint &lt;= high (1 = violation)</t>
  </si>
  <si>
    <t xml:space="preserve">IF(AND('Guidance_Accuracy'!F20&lt;='Guidance_Accuracy'!H20,'Guidance_Accuracy'!H20&lt;='Guidance_Accuracy'!G20),0,1)</t>
  </si>
  <si>
    <t xml:space="preserve">P1-1303</t>
  </si>
  <si>
    <t xml:space="preserve">Revenue row 20: exactly one outcome flag set</t>
  </si>
  <si>
    <t xml:space="preserve">'Guidance_Accuracy'!P20+'Guidance_Accuracy'!Q20+'Guidance_Accuracy'!R20-1</t>
  </si>
  <si>
    <t xml:space="preserve">P1-1304</t>
  </si>
  <si>
    <t xml:space="preserve">Revenue row 21: low &lt;= midpoint &lt;= high (1 = violation)</t>
  </si>
  <si>
    <t xml:space="preserve">IF(AND('Guidance_Accuracy'!F21&lt;='Guidance_Accuracy'!H21,'Guidance_Accuracy'!H21&lt;='Guidance_Accuracy'!G21),0,1)</t>
  </si>
  <si>
    <t xml:space="preserve">P1-1305</t>
  </si>
  <si>
    <t xml:space="preserve">Revenue row 21: exactly one outcome flag set</t>
  </si>
  <si>
    <t xml:space="preserve">'Guidance_Accuracy'!P21+'Guidance_Accuracy'!Q21+'Guidance_Accuracy'!R21-1</t>
  </si>
  <si>
    <t xml:space="preserve">P1-1306</t>
  </si>
  <si>
    <t xml:space="preserve">Revenue row 22: low &lt;= midpoint &lt;= high (1 = violation)</t>
  </si>
  <si>
    <t xml:space="preserve">IF(AND('Guidance_Accuracy'!F22&lt;='Guidance_Accuracy'!H22,'Guidance_Accuracy'!H22&lt;='Guidance_Accuracy'!G22),0,1)</t>
  </si>
  <si>
    <t xml:space="preserve">P1-1307</t>
  </si>
  <si>
    <t xml:space="preserve">Revenue row 22: exactly one outcome flag set</t>
  </si>
  <si>
    <t xml:space="preserve">'Guidance_Accuracy'!P22+'Guidance_Accuracy'!Q22+'Guidance_Accuracy'!R22-1</t>
  </si>
  <si>
    <t xml:space="preserve">P1-1308</t>
  </si>
  <si>
    <t xml:space="preserve">Revenue row 23: low &lt;= midpoint &lt;= high (1 = violation)</t>
  </si>
  <si>
    <t xml:space="preserve">IF(AND('Guidance_Accuracy'!F23&lt;='Guidance_Accuracy'!H23,'Guidance_Accuracy'!H23&lt;='Guidance_Accuracy'!G23),0,1)</t>
  </si>
  <si>
    <t xml:space="preserve">P1-1309</t>
  </si>
  <si>
    <t xml:space="preserve">Revenue row 23: exactly one outcome flag set</t>
  </si>
  <si>
    <t xml:space="preserve">'Guidance_Accuracy'!P23+'Guidance_Accuracy'!Q23+'Guidance_Accuracy'!R23-1</t>
  </si>
  <si>
    <t xml:space="preserve">P1-1310</t>
  </si>
  <si>
    <t xml:space="preserve">Revenue row 24: low &lt;= midpoint &lt;= high (1 = violation)</t>
  </si>
  <si>
    <t xml:space="preserve">IF(AND('Guidance_Accuracy'!F24&lt;='Guidance_Accuracy'!H24,'Guidance_Accuracy'!H24&lt;='Guidance_Accuracy'!G24),0,1)</t>
  </si>
  <si>
    <t xml:space="preserve">P1-1311</t>
  </si>
  <si>
    <t xml:space="preserve">Revenue row 24: exactly one outcome flag set</t>
  </si>
  <si>
    <t xml:space="preserve">'Guidance_Accuracy'!P24+'Guidance_Accuracy'!Q24+'Guidance_Accuracy'!R24-1</t>
  </si>
  <si>
    <t xml:space="preserve">P1-1312</t>
  </si>
  <si>
    <t xml:space="preserve">Revenue row 25: low &lt;= midpoint &lt;= high (1 = violation)</t>
  </si>
  <si>
    <t xml:space="preserve">IF(AND('Guidance_Accuracy'!F25&lt;='Guidance_Accuracy'!H25,'Guidance_Accuracy'!H25&lt;='Guidance_Accuracy'!G25),0,1)</t>
  </si>
  <si>
    <t xml:space="preserve">P1-1313</t>
  </si>
  <si>
    <t xml:space="preserve">Revenue row 25: exactly one outcome flag set</t>
  </si>
  <si>
    <t xml:space="preserve">'Guidance_Accuracy'!P25+'Guidance_Accuracy'!Q25+'Guidance_Accuracy'!R25-1</t>
  </si>
  <si>
    <t xml:space="preserve">P1-1314</t>
  </si>
  <si>
    <t xml:space="preserve">Revenue row 26: low &lt;= midpoint &lt;= high (1 = violation)</t>
  </si>
  <si>
    <t xml:space="preserve">IF(AND('Guidance_Accuracy'!F26&lt;='Guidance_Accuracy'!H26,'Guidance_Accuracy'!H26&lt;='Guidance_Accuracy'!G26),0,1)</t>
  </si>
  <si>
    <t xml:space="preserve">P1-1315</t>
  </si>
  <si>
    <t xml:space="preserve">Revenue row 26: exactly one outcome flag set</t>
  </si>
  <si>
    <t xml:space="preserve">'Guidance_Accuracy'!P26+'Guidance_Accuracy'!Q26+'Guidance_Accuracy'!R26-1</t>
  </si>
  <si>
    <t xml:space="preserve">P1-1316</t>
  </si>
  <si>
    <t xml:space="preserve">Non-GAAP operating income row 32: low &lt;= midpoint &lt;= high (1 = violation)</t>
  </si>
  <si>
    <t xml:space="preserve">IF(AND('Guidance_Accuracy'!F32&lt;='Guidance_Accuracy'!H32,'Guidance_Accuracy'!H32&lt;='Guidance_Accuracy'!G32),0,1)</t>
  </si>
  <si>
    <t xml:space="preserve">P1-1317</t>
  </si>
  <si>
    <t xml:space="preserve">Non-GAAP operating income row 32: exactly one outcome flag set</t>
  </si>
  <si>
    <t xml:space="preserve">'Guidance_Accuracy'!P32+'Guidance_Accuracy'!Q32+'Guidance_Accuracy'!R32-1</t>
  </si>
  <si>
    <t xml:space="preserve">P1-1318</t>
  </si>
  <si>
    <t xml:space="preserve">Non-GAAP operating income row 33: low &lt;= midpoint &lt;= high (1 = violation)</t>
  </si>
  <si>
    <t xml:space="preserve">IF(AND('Guidance_Accuracy'!F33&lt;='Guidance_Accuracy'!H33,'Guidance_Accuracy'!H33&lt;='Guidance_Accuracy'!G33),0,1)</t>
  </si>
  <si>
    <t xml:space="preserve">P1-1319</t>
  </si>
  <si>
    <t xml:space="preserve">Non-GAAP operating income row 33: exactly one outcome flag set</t>
  </si>
  <si>
    <t xml:space="preserve">'Guidance_Accuracy'!P33+'Guidance_Accuracy'!Q33+'Guidance_Accuracy'!R33-1</t>
  </si>
  <si>
    <t xml:space="preserve">P1-1320</t>
  </si>
  <si>
    <t xml:space="preserve">Non-GAAP operating income row 34: low &lt;= midpoint &lt;= high (1 = violation)</t>
  </si>
  <si>
    <t xml:space="preserve">IF(AND('Guidance_Accuracy'!F34&lt;='Guidance_Accuracy'!H34,'Guidance_Accuracy'!H34&lt;='Guidance_Accuracy'!G34),0,1)</t>
  </si>
  <si>
    <t xml:space="preserve">P1-1321</t>
  </si>
  <si>
    <t xml:space="preserve">Non-GAAP operating income row 34: exactly one outcome flag set</t>
  </si>
  <si>
    <t xml:space="preserve">'Guidance_Accuracy'!P34+'Guidance_Accuracy'!Q34+'Guidance_Accuracy'!R34-1</t>
  </si>
  <si>
    <t xml:space="preserve">P1-1322</t>
  </si>
  <si>
    <t xml:space="preserve">Non-GAAP operating income row 35: low &lt;= midpoint &lt;= high (1 = violation)</t>
  </si>
  <si>
    <t xml:space="preserve">IF(AND('Guidance_Accuracy'!F35&lt;='Guidance_Accuracy'!H35,'Guidance_Accuracy'!H35&lt;='Guidance_Accuracy'!G35),0,1)</t>
  </si>
  <si>
    <t xml:space="preserve">P1-1323</t>
  </si>
  <si>
    <t xml:space="preserve">Non-GAAP operating income row 35: exactly one outcome flag set</t>
  </si>
  <si>
    <t xml:space="preserve">'Guidance_Accuracy'!P35+'Guidance_Accuracy'!Q35+'Guidance_Accuracy'!R35-1</t>
  </si>
  <si>
    <t xml:space="preserve">P1-1324</t>
  </si>
  <si>
    <t xml:space="preserve">Non-GAAP operating income row 36: low &lt;= midpoint &lt;= high (1 = violation)</t>
  </si>
  <si>
    <t xml:space="preserve">IF(AND('Guidance_Accuracy'!F36&lt;='Guidance_Accuracy'!H36,'Guidance_Accuracy'!H36&lt;='Guidance_Accuracy'!G36),0,1)</t>
  </si>
  <si>
    <t xml:space="preserve">P1-1325</t>
  </si>
  <si>
    <t xml:space="preserve">Non-GAAP operating income row 36: exactly one outcome flag set</t>
  </si>
  <si>
    <t xml:space="preserve">'Guidance_Accuracy'!P36+'Guidance_Accuracy'!Q36+'Guidance_Accuracy'!R36-1</t>
  </si>
  <si>
    <t xml:space="preserve">P1-1326</t>
  </si>
  <si>
    <t xml:space="preserve">Non-GAAP operating income row 37: low &lt;= midpoint &lt;= high (1 = violation)</t>
  </si>
  <si>
    <t xml:space="preserve">IF(AND('Guidance_Accuracy'!F37&lt;='Guidance_Accuracy'!H37,'Guidance_Accuracy'!H37&lt;='Guidance_Accuracy'!G37),0,1)</t>
  </si>
  <si>
    <t xml:space="preserve">P1-1327</t>
  </si>
  <si>
    <t xml:space="preserve">Non-GAAP operating income row 37: exactly one outcome flag set</t>
  </si>
  <si>
    <t xml:space="preserve">'Guidance_Accuracy'!P37+'Guidance_Accuracy'!Q37+'Guidance_Accuracy'!R37-1</t>
  </si>
  <si>
    <t xml:space="preserve">P1-1328</t>
  </si>
  <si>
    <t xml:space="preserve">Non-GAAP operating income row 38: low &lt;= midpoint &lt;= high (1 = violation)</t>
  </si>
  <si>
    <t xml:space="preserve">IF(AND('Guidance_Accuracy'!F38&lt;='Guidance_Accuracy'!H38,'Guidance_Accuracy'!H38&lt;='Guidance_Accuracy'!G38),0,1)</t>
  </si>
  <si>
    <t xml:space="preserve">P1-1329</t>
  </si>
  <si>
    <t xml:space="preserve">Non-GAAP operating income row 38: exactly one outcome flag set</t>
  </si>
  <si>
    <t xml:space="preserve">'Guidance_Accuracy'!P38+'Guidance_Accuracy'!Q38+'Guidance_Accuracy'!R38-1</t>
  </si>
  <si>
    <t xml:space="preserve">P1-1330</t>
  </si>
  <si>
    <t xml:space="preserve">Non-GAAP operating income row 39: low &lt;= midpoint &lt;= high (1 = violation)</t>
  </si>
  <si>
    <t xml:space="preserve">IF(AND('Guidance_Accuracy'!F39&lt;='Guidance_Accuracy'!H39,'Guidance_Accuracy'!H39&lt;='Guidance_Accuracy'!G39),0,1)</t>
  </si>
  <si>
    <t xml:space="preserve">P1-1331</t>
  </si>
  <si>
    <t xml:space="preserve">Non-GAAP operating income row 39: exactly one outcome flag set</t>
  </si>
  <si>
    <t xml:space="preserve">'Guidance_Accuracy'!P39+'Guidance_Accuracy'!Q39+'Guidance_Accuracy'!R39-1</t>
  </si>
  <si>
    <t xml:space="preserve">P1-1332</t>
  </si>
  <si>
    <t xml:space="preserve">Non-GAAP operating income row 40: low &lt;= midpoint &lt;= high (1 = violation)</t>
  </si>
  <si>
    <t xml:space="preserve">IF(AND('Guidance_Accuracy'!F40&lt;='Guidance_Accuracy'!H40,'Guidance_Accuracy'!H40&lt;='Guidance_Accuracy'!G40),0,1)</t>
  </si>
  <si>
    <t xml:space="preserve">P1-1333</t>
  </si>
  <si>
    <t xml:space="preserve">Non-GAAP operating income row 40: exactly one outcome flag set</t>
  </si>
  <si>
    <t xml:space="preserve">'Guidance_Accuracy'!P40+'Guidance_Accuracy'!Q40+'Guidance_Accuracy'!R40-1</t>
  </si>
  <si>
    <t xml:space="preserve">P1-1334</t>
  </si>
  <si>
    <t xml:space="preserve">Non-GAAP operating income row 41: low &lt;= midpoint &lt;= high (1 = violation)</t>
  </si>
  <si>
    <t xml:space="preserve">IF(AND('Guidance_Accuracy'!F41&lt;='Guidance_Accuracy'!H41,'Guidance_Accuracy'!H41&lt;='Guidance_Accuracy'!G41),0,1)</t>
  </si>
  <si>
    <t xml:space="preserve">P1-1335</t>
  </si>
  <si>
    <t xml:space="preserve">Non-GAAP operating income row 41: exactly one outcome flag set</t>
  </si>
  <si>
    <t xml:space="preserve">'Guidance_Accuracy'!P41+'Guidance_Accuracy'!Q41+'Guidance_Accuracy'!R41-1</t>
  </si>
  <si>
    <t xml:space="preserve">P1-1336</t>
  </si>
  <si>
    <t xml:space="preserve">Non-GAAP operating income row 42: low &lt;= midpoint &lt;= high (1 = violation)</t>
  </si>
  <si>
    <t xml:space="preserve">IF(AND('Guidance_Accuracy'!F42&lt;='Guidance_Accuracy'!H42,'Guidance_Accuracy'!H42&lt;='Guidance_Accuracy'!G42),0,1)</t>
  </si>
  <si>
    <t xml:space="preserve">P1-1337</t>
  </si>
  <si>
    <t xml:space="preserve">Non-GAAP operating income row 42: exactly one outcome flag set</t>
  </si>
  <si>
    <t xml:space="preserve">'Guidance_Accuracy'!P42+'Guidance_Accuracy'!Q42+'Guidance_Accuracy'!R42-1</t>
  </si>
  <si>
    <t xml:space="preserve">P1-1338</t>
  </si>
  <si>
    <t xml:space="preserve">Non-GAAP operating income row 43: low &lt;= midpoint &lt;= high (1 = violation)</t>
  </si>
  <si>
    <t xml:space="preserve">IF(AND('Guidance_Accuracy'!F43&lt;='Guidance_Accuracy'!H43,'Guidance_Accuracy'!H43&lt;='Guidance_Accuracy'!G43),0,1)</t>
  </si>
  <si>
    <t xml:space="preserve">P1-1339</t>
  </si>
  <si>
    <t xml:space="preserve">Non-GAAP operating income row 43: exactly one outcome flag set</t>
  </si>
  <si>
    <t xml:space="preserve">'Guidance_Accuracy'!P43+'Guidance_Accuracy'!Q43+'Guidance_Accuracy'!R43-1</t>
  </si>
  <si>
    <t xml:space="preserve">P1-1340</t>
  </si>
  <si>
    <t xml:space="preserve">Non-GAAP operating income row 44: low &lt;= midpoint &lt;= high (1 = violation)</t>
  </si>
  <si>
    <t xml:space="preserve">IF(AND('Guidance_Accuracy'!F44&lt;='Guidance_Accuracy'!H44,'Guidance_Accuracy'!H44&lt;='Guidance_Accuracy'!G44),0,1)</t>
  </si>
  <si>
    <t xml:space="preserve">P1-1341</t>
  </si>
  <si>
    <t xml:space="preserve">Non-GAAP operating income row 44: exactly one outcome flag set</t>
  </si>
  <si>
    <t xml:space="preserve">'Guidance_Accuracy'!P44+'Guidance_Accuracy'!Q44+'Guidance_Accuracy'!R44-1</t>
  </si>
  <si>
    <t xml:space="preserve">P1-1342</t>
  </si>
  <si>
    <t xml:space="preserve">Non-GAAP operating income row 45: low &lt;= midpoint &lt;= high (1 = violation)</t>
  </si>
  <si>
    <t xml:space="preserve">IF(AND('Guidance_Accuracy'!F45&lt;='Guidance_Accuracy'!H45,'Guidance_Accuracy'!H45&lt;='Guidance_Accuracy'!G45),0,1)</t>
  </si>
  <si>
    <t xml:space="preserve">P1-1343</t>
  </si>
  <si>
    <t xml:space="preserve">Non-GAAP operating income row 45: exactly one outcome flag set</t>
  </si>
  <si>
    <t xml:space="preserve">'Guidance_Accuracy'!P45+'Guidance_Accuracy'!Q45+'Guidance_Accuracy'!R45-1</t>
  </si>
  <si>
    <t xml:space="preserve">P1-1344</t>
  </si>
  <si>
    <t xml:space="preserve">Non-GAAP operating income row 46: low &lt;= midpoint &lt;= high (1 = violation)</t>
  </si>
  <si>
    <t xml:space="preserve">IF(AND('Guidance_Accuracy'!F46&lt;='Guidance_Accuracy'!H46,'Guidance_Accuracy'!H46&lt;='Guidance_Accuracy'!G46),0,1)</t>
  </si>
  <si>
    <t xml:space="preserve">P1-1345</t>
  </si>
  <si>
    <t xml:space="preserve">Non-GAAP operating income row 46: exactly one outcome flag set</t>
  </si>
  <si>
    <t xml:space="preserve">'Guidance_Accuracy'!P46+'Guidance_Accuracy'!Q46+'Guidance_Accuracy'!R46-1</t>
  </si>
  <si>
    <t xml:space="preserve">P1-1346</t>
  </si>
  <si>
    <t xml:space="preserve">Non-GAAP operating income row 47: low &lt;= midpoint &lt;= high (1 = violation)</t>
  </si>
  <si>
    <t xml:space="preserve">IF(AND('Guidance_Accuracy'!F47&lt;='Guidance_Accuracy'!H47,'Guidance_Accuracy'!H47&lt;='Guidance_Accuracy'!G47),0,1)</t>
  </si>
  <si>
    <t xml:space="preserve">P1-1347</t>
  </si>
  <si>
    <t xml:space="preserve">Non-GAAP operating income row 47: exactly one outcome flag set</t>
  </si>
  <si>
    <t xml:space="preserve">'Guidance_Accuracy'!P47+'Guidance_Accuracy'!Q47+'Guidance_Accuracy'!R47-1</t>
  </si>
  <si>
    <t xml:space="preserve">P1-1348</t>
  </si>
  <si>
    <t xml:space="preserve">Non-GAAP operating income row 48: low &lt;= midpoint &lt;= high (1 = violation)</t>
  </si>
  <si>
    <t xml:space="preserve">IF(AND('Guidance_Accuracy'!F48&lt;='Guidance_Accuracy'!H48,'Guidance_Accuracy'!H48&lt;='Guidance_Accuracy'!G48),0,1)</t>
  </si>
  <si>
    <t xml:space="preserve">P1-1349</t>
  </si>
  <si>
    <t xml:space="preserve">Non-GAAP operating income row 48: exactly one outcome flag set</t>
  </si>
  <si>
    <t xml:space="preserve">'Guidance_Accuracy'!P48+'Guidance_Accuracy'!Q48+'Guidance_Accuracy'!R48-1</t>
  </si>
  <si>
    <t xml:space="preserve">P1-1350</t>
  </si>
  <si>
    <t xml:space="preserve">Non-GAAP operating income row 49: low &lt;= midpoint &lt;= high (1 = violation)</t>
  </si>
  <si>
    <t xml:space="preserve">IF(AND('Guidance_Accuracy'!F49&lt;='Guidance_Accuracy'!H49,'Guidance_Accuracy'!H49&lt;='Guidance_Accuracy'!G49),0,1)</t>
  </si>
  <si>
    <t xml:space="preserve">P1-1351</t>
  </si>
  <si>
    <t xml:space="preserve">Non-GAAP operating income row 49: exactly one outcome flag set</t>
  </si>
  <si>
    <t xml:space="preserve">'Guidance_Accuracy'!P49+'Guidance_Accuracy'!Q49+'Guidance_Accuracy'!R49-1</t>
  </si>
  <si>
    <t xml:space="preserve">P1-1352</t>
  </si>
  <si>
    <t xml:space="preserve">Non-GAAP operating income row 50: low &lt;= midpoint &lt;= high (1 = violation)</t>
  </si>
  <si>
    <t xml:space="preserve">IF(AND('Guidance_Accuracy'!F50&lt;='Guidance_Accuracy'!H50,'Guidance_Accuracy'!H50&lt;='Guidance_Accuracy'!G50),0,1)</t>
  </si>
  <si>
    <t xml:space="preserve">P1-1353</t>
  </si>
  <si>
    <t xml:space="preserve">Non-GAAP operating income row 50: exactly one outcome flag set</t>
  </si>
  <si>
    <t xml:space="preserve">'Guidance_Accuracy'!P50+'Guidance_Accuracy'!Q50+'Guidance_Accuracy'!R50-1</t>
  </si>
  <si>
    <t xml:space="preserve">P1-1354</t>
  </si>
  <si>
    <t xml:space="preserve">Non-GAAP operating income row 51: low &lt;= midpoint &lt;= high (1 = violation)</t>
  </si>
  <si>
    <t xml:space="preserve">IF(AND('Guidance_Accuracy'!F51&lt;='Guidance_Accuracy'!H51,'Guidance_Accuracy'!H51&lt;='Guidance_Accuracy'!G51),0,1)</t>
  </si>
  <si>
    <t xml:space="preserve">P1-1355</t>
  </si>
  <si>
    <t xml:space="preserve">Non-GAAP operating income row 51: exactly one outcome flag set</t>
  </si>
  <si>
    <t xml:space="preserve">'Guidance_Accuracy'!P51+'Guidance_Accuracy'!Q51+'Guidance_Accuracy'!R51-1</t>
  </si>
  <si>
    <t xml:space="preserve">P1-1356</t>
  </si>
  <si>
    <t xml:space="preserve">Adjusted free cash flow / free cash flow row 57: low &lt;= midpoint &lt;= high (1 = violation)</t>
  </si>
  <si>
    <t xml:space="preserve">IF(AND('Guidance_Accuracy'!F57&lt;='Guidance_Accuracy'!H57,'Guidance_Accuracy'!H57&lt;='Guidance_Accuracy'!G57),0,1)</t>
  </si>
  <si>
    <t xml:space="preserve">P1-1357</t>
  </si>
  <si>
    <t xml:space="preserve">Adjusted free cash flow / free cash flow row 57: exactly one outcome flag set</t>
  </si>
  <si>
    <t xml:space="preserve">'Guidance_Accuracy'!P57+'Guidance_Accuracy'!Q57+'Guidance_Accuracy'!R57-1</t>
  </si>
  <si>
    <t xml:space="preserve">P1-1358</t>
  </si>
  <si>
    <t xml:space="preserve">Adjusted free cash flow / free cash flow row 58: low &lt;= midpoint &lt;= high (1 = violation)</t>
  </si>
  <si>
    <t xml:space="preserve">IF(AND('Guidance_Accuracy'!F58&lt;='Guidance_Accuracy'!H58,'Guidance_Accuracy'!H58&lt;='Guidance_Accuracy'!G58),0,1)</t>
  </si>
  <si>
    <t xml:space="preserve">P1-1359</t>
  </si>
  <si>
    <t xml:space="preserve">Adjusted free cash flow / free cash flow row 58: exactly one outcome flag set</t>
  </si>
  <si>
    <t xml:space="preserve">'Guidance_Accuracy'!P58+'Guidance_Accuracy'!Q58+'Guidance_Accuracy'!R58-1</t>
  </si>
  <si>
    <t xml:space="preserve">P1-1360</t>
  </si>
  <si>
    <t xml:space="preserve">Adjusted free cash flow / free cash flow row 59: low &lt;= midpoint &lt;= high (1 = violation)</t>
  </si>
  <si>
    <t xml:space="preserve">IF(AND('Guidance_Accuracy'!F59&lt;='Guidance_Accuracy'!H59,'Guidance_Accuracy'!H59&lt;='Guidance_Accuracy'!G59),0,1)</t>
  </si>
  <si>
    <t xml:space="preserve">P1-1361</t>
  </si>
  <si>
    <t xml:space="preserve">Adjusted free cash flow / free cash flow row 59: exactly one outcome flag set</t>
  </si>
  <si>
    <t xml:space="preserve">'Guidance_Accuracy'!P59+'Guidance_Accuracy'!Q59+'Guidance_Accuracy'!R59-1</t>
  </si>
  <si>
    <t xml:space="preserve">P1-1362</t>
  </si>
  <si>
    <t xml:space="preserve">Adjusted free cash flow / free cash flow row 60: low &lt;= midpoint &lt;= high (1 = violation)</t>
  </si>
  <si>
    <t xml:space="preserve">IF(AND('Guidance_Accuracy'!F60&lt;='Guidance_Accuracy'!H60,'Guidance_Accuracy'!H60&lt;='Guidance_Accuracy'!G60),0,1)</t>
  </si>
  <si>
    <t xml:space="preserve">P1-1363</t>
  </si>
  <si>
    <t xml:space="preserve">Adjusted free cash flow / free cash flow row 60: exactly one outcome flag set</t>
  </si>
  <si>
    <t xml:space="preserve">'Guidance_Accuracy'!P60+'Guidance_Accuracy'!Q60+'Guidance_Accuracy'!R60-1</t>
  </si>
  <si>
    <t xml:space="preserve">P1-1364</t>
  </si>
  <si>
    <t xml:space="preserve">Q1 closing cash = Q2 opening cash (both copied from source book)</t>
  </si>
  <si>
    <t xml:space="preserve">'Cash_Conversion'!B54-'Cash_Conversion'!E48</t>
  </si>
  <si>
    <t xml:space="preserve">P1-1365</t>
  </si>
  <si>
    <t xml:space="preserve">H1 OCF in bridge (Q1+Q2) = source book 6M 2026 OCF</t>
  </si>
  <si>
    <t xml:space="preserve">'Cash_Conversion'!H49-'Cash_Conversion'!B62</t>
  </si>
  <si>
    <t xml:space="preserve">P1-1366</t>
  </si>
  <si>
    <t xml:space="preserve">H1 repurchases in bridge (Q1+Q2) = source book 6M 2026 repurchases</t>
  </si>
  <si>
    <t xml:space="preserve">'Cash_Conversion'!H52-'Cash_Conversion'!B63</t>
  </si>
  <si>
    <t xml:space="preserve">P1-1367</t>
  </si>
  <si>
    <t xml:space="preserve">H1 bridge: opening + flows + other = closing</t>
  </si>
  <si>
    <t xml:space="preserve">'Cash_Conversion'!H48+SUM('Cash_Conversion'!H49:'Cash_Conversion'!H53)-'Cash_Conversion'!H54</t>
  </si>
  <si>
    <t xml:space="preserve">P1-1368</t>
  </si>
  <si>
    <t xml:space="preserve">Deceleration: Q1 2026 + Q2 2026 revenue = 6M 2026 revenue (source book)</t>
  </si>
  <si>
    <t xml:space="preserve">'Deceleration'!B26+'Deceleration'!B27-'Deceleration'!C39</t>
  </si>
  <si>
    <t xml:space="preserve">P1-1369</t>
  </si>
  <si>
    <t xml:space="preserve">Deceleration: Q3 2025 + Q4 2025 revenue = implied H2 2025 (FY2025 - 6M 2025)</t>
  </si>
  <si>
    <t xml:space="preserve">'Deceleration'!B24+'Deceleration'!B25-'Deceleration'!C43</t>
  </si>
</sst>
</file>

<file path=xl/styles.xml><?xml version="1.0" encoding="utf-8"?>
<styleSheet xmlns="http://schemas.openxmlformats.org/spreadsheetml/2006/main">
  <numFmts count="11">
    <numFmt numFmtId="164" formatCode="General"/>
    <numFmt numFmtId="165" formatCode="yyyy\-mm\-dd"/>
    <numFmt numFmtId="166" formatCode="#,##0.0;\(#,##0.0\)"/>
    <numFmt numFmtId="167" formatCode="#,##0;\(#,##0\)"/>
    <numFmt numFmtId="168" formatCode="0.0%;\-0.0%"/>
    <numFmt numFmtId="169" formatCode="0;\-0"/>
    <numFmt numFmtId="170" formatCode="#,##0"/>
    <numFmt numFmtId="171" formatCode="0.0"/>
    <numFmt numFmtId="172" formatCode="0.00\x"/>
    <numFmt numFmtId="173" formatCode="0.0;\-0.0"/>
    <numFmt numFmtId="174" formatCode="0.00%"/>
  </numFmts>
  <fonts count="13">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0"/>
      <name val="Calibri"/>
      <family val="0"/>
      <charset val="1"/>
    </font>
    <font>
      <sz val="10"/>
      <color rgb="FF000000"/>
      <name val="Calibri"/>
      <family val="0"/>
      <charset val="1"/>
    </font>
    <font>
      <b val="true"/>
      <sz val="11"/>
      <name val="Calibri"/>
      <family val="0"/>
      <charset val="1"/>
    </font>
    <font>
      <b val="true"/>
      <sz val="13"/>
      <name val="Calibri"/>
      <family val="0"/>
      <charset val="1"/>
    </font>
    <font>
      <i val="true"/>
      <sz val="10"/>
      <color rgb="FF808080"/>
      <name val="Calibri"/>
      <family val="0"/>
      <charset val="1"/>
    </font>
    <font>
      <b val="true"/>
      <sz val="10"/>
      <color rgb="FFFFFFFF"/>
      <name val="Calibri"/>
      <family val="0"/>
      <charset val="1"/>
    </font>
    <font>
      <i val="true"/>
      <sz val="9"/>
      <name val="Calibri"/>
      <family val="0"/>
      <charset val="1"/>
    </font>
    <font>
      <sz val="10"/>
      <color rgb="FF0000FF"/>
      <name val="Calibri"/>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row r="11" customFormat="false" ht="15" hidden="false" customHeight="false" outlineLevel="0" collapsed="false">
      <c r="A11" s="2" t="s">
        <v>17</v>
      </c>
      <c r="B11" s="3" t="s">
        <v>18</v>
      </c>
    </row>
    <row r="13" customFormat="false" ht="15" hidden="false" customHeight="false" outlineLevel="0" collapsed="false">
      <c r="A13" s="4" t="s">
        <v>19</v>
      </c>
    </row>
    <row r="15" customFormat="false" ht="28.35" hidden="false" customHeight="false" outlineLevel="0" collapsed="false">
      <c r="A15" s="2" t="s">
        <v>20</v>
      </c>
      <c r="B15"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1"/>
    <col collapsed="false" customWidth="true" hidden="false" outlineLevel="0" max="4" min="4" style="0" width="12"/>
    <col collapsed="false" customWidth="true" hidden="false" outlineLevel="0" max="5" min="5" style="0" width="11"/>
    <col collapsed="false" customWidth="true" hidden="false" outlineLevel="0" max="7" min="6" style="0" width="9"/>
    <col collapsed="false" customWidth="true" hidden="false" outlineLevel="0" max="8" min="8" style="0" width="10"/>
    <col collapsed="false" customWidth="true" hidden="false" outlineLevel="0" max="9" min="9" style="0" width="13"/>
    <col collapsed="false" customWidth="true" hidden="false" outlineLevel="0" max="12" min="10" style="0" width="11"/>
    <col collapsed="false" customWidth="true" hidden="false" outlineLevel="0" max="14" min="13" style="0" width="10"/>
    <col collapsed="false" customWidth="true" hidden="false" outlineLevel="0" max="15" min="15" style="0" width="13"/>
    <col collapsed="false" customWidth="true" hidden="false" outlineLevel="0" max="16" min="16" style="0" width="10"/>
    <col collapsed="false" customWidth="true" hidden="false" outlineLevel="0" max="24" min="17" style="0" width="11"/>
    <col collapsed="false" customWidth="true" hidden="false" outlineLevel="0" max="25" min="25" style="0" width="60"/>
  </cols>
  <sheetData>
    <row r="1" customFormat="false" ht="16.15" hidden="false" customHeight="false" outlineLevel="0" collapsed="false">
      <c r="A1" s="6" t="s">
        <v>22</v>
      </c>
    </row>
    <row r="2" customFormat="false" ht="15" hidden="false" customHeight="false" outlineLevel="0" collapsed="false">
      <c r="A2" s="7" t="s">
        <v>23</v>
      </c>
    </row>
    <row r="4" customFormat="false" ht="15" hidden="false" customHeight="false" outlineLevel="0" collapsed="false">
      <c r="A4" s="4" t="s">
        <v>24</v>
      </c>
    </row>
    <row r="5" customFormat="false" ht="57.45" hidden="false" customHeight="false" outlineLevel="0" collapsed="false">
      <c r="A5" s="8" t="s">
        <v>25</v>
      </c>
      <c r="B5" s="8" t="s">
        <v>26</v>
      </c>
      <c r="C5" s="8" t="s">
        <v>27</v>
      </c>
      <c r="D5" s="8" t="s">
        <v>28</v>
      </c>
      <c r="E5" s="8" t="s">
        <v>29</v>
      </c>
      <c r="F5" s="8" t="s">
        <v>30</v>
      </c>
      <c r="G5" s="8" t="s">
        <v>31</v>
      </c>
      <c r="H5" s="8" t="s">
        <v>32</v>
      </c>
      <c r="I5" s="8" t="s">
        <v>33</v>
      </c>
      <c r="J5" s="8" t="s">
        <v>34</v>
      </c>
      <c r="K5" s="8" t="s">
        <v>35</v>
      </c>
      <c r="L5" s="8" t="s">
        <v>36</v>
      </c>
      <c r="M5" s="8" t="s">
        <v>37</v>
      </c>
      <c r="N5" s="8" t="s">
        <v>38</v>
      </c>
      <c r="O5" s="8" t="s">
        <v>39</v>
      </c>
      <c r="P5" s="8" t="s">
        <v>40</v>
      </c>
      <c r="Q5" s="8" t="s">
        <v>41</v>
      </c>
      <c r="R5" s="8" t="s">
        <v>42</v>
      </c>
      <c r="S5" s="8" t="s">
        <v>43</v>
      </c>
      <c r="T5" s="8" t="s">
        <v>44</v>
      </c>
      <c r="U5" s="8" t="s">
        <v>45</v>
      </c>
      <c r="V5" s="8" t="s">
        <v>46</v>
      </c>
      <c r="W5" s="8" t="s">
        <v>44</v>
      </c>
      <c r="X5" s="8" t="s">
        <v>45</v>
      </c>
      <c r="Y5" s="8" t="s">
        <v>47</v>
      </c>
    </row>
    <row r="6" customFormat="false" ht="43.25" hidden="false" customHeight="false" outlineLevel="0" collapsed="false">
      <c r="A6" s="9" t="s">
        <v>48</v>
      </c>
      <c r="B6" s="9" t="s">
        <v>49</v>
      </c>
      <c r="C6" s="9" t="s">
        <v>27</v>
      </c>
      <c r="D6" s="9" t="s">
        <v>50</v>
      </c>
      <c r="E6" s="9" t="s">
        <v>50</v>
      </c>
      <c r="F6" s="9" t="s">
        <v>51</v>
      </c>
      <c r="G6" s="9" t="s">
        <v>51</v>
      </c>
      <c r="H6" s="9" t="s">
        <v>52</v>
      </c>
      <c r="I6" s="9" t="s">
        <v>51</v>
      </c>
      <c r="J6" s="9" t="s">
        <v>49</v>
      </c>
      <c r="K6" s="9" t="s">
        <v>27</v>
      </c>
      <c r="L6" s="9" t="s">
        <v>52</v>
      </c>
      <c r="M6" s="9" t="s">
        <v>52</v>
      </c>
      <c r="N6" s="9" t="s">
        <v>52</v>
      </c>
      <c r="O6" s="9" t="s">
        <v>52</v>
      </c>
      <c r="P6" s="9" t="s">
        <v>52</v>
      </c>
      <c r="Q6" s="9" t="s">
        <v>52</v>
      </c>
      <c r="R6" s="9" t="s">
        <v>52</v>
      </c>
      <c r="S6" s="9" t="s">
        <v>51</v>
      </c>
      <c r="T6" s="9" t="s">
        <v>49</v>
      </c>
      <c r="U6" s="9" t="s">
        <v>27</v>
      </c>
      <c r="V6" s="9" t="s">
        <v>51</v>
      </c>
      <c r="W6" s="9" t="s">
        <v>49</v>
      </c>
      <c r="X6" s="9" t="s">
        <v>27</v>
      </c>
      <c r="Y6" s="9" t="s">
        <v>53</v>
      </c>
    </row>
    <row r="7" customFormat="false" ht="15" hidden="false" customHeight="false" outlineLevel="0" collapsed="false">
      <c r="A7" s="10" t="s">
        <v>54</v>
      </c>
      <c r="B7" s="7" t="s">
        <v>55</v>
      </c>
      <c r="C7" s="7" t="s">
        <v>56</v>
      </c>
      <c r="D7" s="11" t="n">
        <v>44425</v>
      </c>
      <c r="E7" s="12" t="s">
        <v>24</v>
      </c>
      <c r="F7" s="13" t="n">
        <v>74</v>
      </c>
      <c r="G7" s="13" t="n">
        <v>75</v>
      </c>
      <c r="H7" s="14" t="n">
        <f aca="false">(F7+G7)/2</f>
        <v>74.5</v>
      </c>
      <c r="I7" s="15" t="n">
        <v>83018</v>
      </c>
      <c r="J7" s="7" t="s">
        <v>57</v>
      </c>
      <c r="K7" s="7" t="s">
        <v>58</v>
      </c>
      <c r="L7" s="14" t="n">
        <f aca="false">I7/1000</f>
        <v>83.018</v>
      </c>
      <c r="M7" s="14" t="n">
        <f aca="false">L7-H7</f>
        <v>8.518</v>
      </c>
      <c r="N7" s="16" t="n">
        <f aca="false">M7/ABS(H7)</f>
        <v>0.114335570469799</v>
      </c>
      <c r="O7" s="10" t="str">
        <f aca="false">IF(L7&gt;G7,"Beat top",IF(L7&gt;=F7,"In range","Missed bottom"))</f>
        <v>Beat top</v>
      </c>
      <c r="P7" s="10" t="n">
        <f aca="false">IF(L7&gt;G7,1,0)</f>
        <v>1</v>
      </c>
      <c r="Q7" s="10" t="n">
        <f aca="false">IF(AND(L7&gt;=F7,L7&lt;=G7),1,0)</f>
        <v>0</v>
      </c>
      <c r="R7" s="10" t="n">
        <f aca="false">IF(L7&lt;F7,1,0)</f>
        <v>0</v>
      </c>
      <c r="Y7" s="10"/>
    </row>
    <row r="8" customFormat="false" ht="15" hidden="false" customHeight="false" outlineLevel="0" collapsed="false">
      <c r="A8" s="10" t="s">
        <v>59</v>
      </c>
      <c r="B8" s="7" t="s">
        <v>60</v>
      </c>
      <c r="C8" s="7" t="s">
        <v>58</v>
      </c>
      <c r="D8" s="11" t="n">
        <v>44510</v>
      </c>
      <c r="E8" s="12" t="s">
        <v>24</v>
      </c>
      <c r="F8" s="13" t="n">
        <v>87</v>
      </c>
      <c r="G8" s="13" t="n">
        <v>88</v>
      </c>
      <c r="H8" s="14" t="n">
        <f aca="false">(F8+G8)/2</f>
        <v>87.5</v>
      </c>
      <c r="I8" s="15" t="n">
        <v>95545</v>
      </c>
      <c r="J8" s="7" t="s">
        <v>61</v>
      </c>
      <c r="K8" s="7" t="s">
        <v>62</v>
      </c>
      <c r="L8" s="14" t="n">
        <f aca="false">I8/1000</f>
        <v>95.545</v>
      </c>
      <c r="M8" s="14" t="n">
        <f aca="false">L8-H8</f>
        <v>8.045</v>
      </c>
      <c r="N8" s="16" t="n">
        <f aca="false">M8/ABS(H8)</f>
        <v>0.0919428571428572</v>
      </c>
      <c r="O8" s="10" t="str">
        <f aca="false">IF(L8&gt;G8,"Beat top",IF(L8&gt;=F8,"In range","Missed bottom"))</f>
        <v>Beat top</v>
      </c>
      <c r="P8" s="10" t="n">
        <f aca="false">IF(L8&gt;G8,1,0)</f>
        <v>1</v>
      </c>
      <c r="Q8" s="10" t="n">
        <f aca="false">IF(AND(L8&gt;=F8,L8&lt;=G8),1,0)</f>
        <v>0</v>
      </c>
      <c r="R8" s="10" t="n">
        <f aca="false">IF(L8&lt;F8,1,0)</f>
        <v>0</v>
      </c>
      <c r="Y8" s="10"/>
    </row>
    <row r="9" customFormat="false" ht="15" hidden="false" customHeight="false" outlineLevel="0" collapsed="false">
      <c r="A9" s="10" t="s">
        <v>63</v>
      </c>
      <c r="B9" s="7" t="s">
        <v>64</v>
      </c>
      <c r="C9" s="7" t="s">
        <v>62</v>
      </c>
      <c r="D9" s="11" t="n">
        <v>44615</v>
      </c>
      <c r="E9" s="12" t="s">
        <v>24</v>
      </c>
      <c r="F9" s="13" t="n">
        <v>100</v>
      </c>
      <c r="G9" s="13" t="n">
        <v>102</v>
      </c>
      <c r="H9" s="14" t="n">
        <f aca="false">(F9+G9)/2</f>
        <v>101</v>
      </c>
      <c r="I9" s="15" t="n">
        <v>108497</v>
      </c>
      <c r="J9" s="7" t="s">
        <v>65</v>
      </c>
      <c r="K9" s="7" t="s">
        <v>66</v>
      </c>
      <c r="L9" s="14" t="n">
        <f aca="false">I9/1000</f>
        <v>108.497</v>
      </c>
      <c r="M9" s="14" t="n">
        <f aca="false">L9-H9</f>
        <v>7.497</v>
      </c>
      <c r="N9" s="16" t="n">
        <f aca="false">M9/ABS(H9)</f>
        <v>0.0742277227722772</v>
      </c>
      <c r="O9" s="10" t="str">
        <f aca="false">IF(L9&gt;G9,"Beat top",IF(L9&gt;=F9,"In range","Missed bottom"))</f>
        <v>Beat top</v>
      </c>
      <c r="P9" s="10" t="n">
        <f aca="false">IF(L9&gt;G9,1,0)</f>
        <v>1</v>
      </c>
      <c r="Q9" s="10" t="n">
        <f aca="false">IF(AND(L9&gt;=F9,L9&lt;=G9),1,0)</f>
        <v>0</v>
      </c>
      <c r="R9" s="10" t="n">
        <f aca="false">IF(L9&lt;F9,1,0)</f>
        <v>0</v>
      </c>
      <c r="S9" s="17" t="n">
        <v>-100</v>
      </c>
      <c r="T9" s="7" t="s">
        <v>67</v>
      </c>
      <c r="U9" s="7" t="s">
        <v>68</v>
      </c>
      <c r="Y9" s="10"/>
    </row>
    <row r="10" customFormat="false" ht="15" hidden="false" customHeight="false" outlineLevel="0" collapsed="false">
      <c r="A10" s="10" t="s">
        <v>69</v>
      </c>
      <c r="B10" s="7" t="s">
        <v>70</v>
      </c>
      <c r="C10" s="7" t="s">
        <v>66</v>
      </c>
      <c r="D10" s="11" t="n">
        <v>44697</v>
      </c>
      <c r="E10" s="12" t="s">
        <v>24</v>
      </c>
      <c r="F10" s="13" t="n">
        <v>117</v>
      </c>
      <c r="G10" s="13" t="n">
        <v>119</v>
      </c>
      <c r="H10" s="14" t="n">
        <f aca="false">(F10+G10)/2</f>
        <v>118</v>
      </c>
      <c r="I10" s="15" t="n">
        <v>123718</v>
      </c>
      <c r="J10" s="7" t="s">
        <v>71</v>
      </c>
      <c r="K10" s="7" t="s">
        <v>72</v>
      </c>
      <c r="L10" s="14" t="n">
        <f aca="false">I10/1000</f>
        <v>123.718</v>
      </c>
      <c r="M10" s="14" t="n">
        <f aca="false">L10-H10</f>
        <v>5.718</v>
      </c>
      <c r="N10" s="16" t="n">
        <f aca="false">M10/ABS(H10)</f>
        <v>0.0484576271186441</v>
      </c>
      <c r="O10" s="10" t="str">
        <f aca="false">IF(L10&gt;G10,"Beat top",IF(L10&gt;=F10,"In range","Missed bottom"))</f>
        <v>Beat top</v>
      </c>
      <c r="P10" s="10" t="n">
        <f aca="false">IF(L10&gt;G10,1,0)</f>
        <v>1</v>
      </c>
      <c r="Q10" s="10" t="n">
        <f aca="false">IF(AND(L10&gt;=F10,L10&lt;=G10),1,0)</f>
        <v>0</v>
      </c>
      <c r="R10" s="10" t="n">
        <f aca="false">IF(L10&lt;F10,1,0)</f>
        <v>0</v>
      </c>
      <c r="S10" s="17" t="n">
        <v>-200</v>
      </c>
      <c r="T10" s="7" t="s">
        <v>73</v>
      </c>
      <c r="U10" s="7" t="s">
        <v>68</v>
      </c>
      <c r="Y10" s="10"/>
    </row>
    <row r="11" customFormat="false" ht="15" hidden="false" customHeight="false" outlineLevel="0" collapsed="false">
      <c r="A11" s="10" t="s">
        <v>74</v>
      </c>
      <c r="B11" s="7" t="s">
        <v>75</v>
      </c>
      <c r="C11" s="7" t="s">
        <v>72</v>
      </c>
      <c r="D11" s="11" t="n">
        <v>44781</v>
      </c>
      <c r="E11" s="12" t="s">
        <v>24</v>
      </c>
      <c r="F11" s="13" t="n">
        <v>130</v>
      </c>
      <c r="G11" s="13" t="n">
        <v>131</v>
      </c>
      <c r="H11" s="14" t="n">
        <f aca="false">(F11+G11)/2</f>
        <v>130.5</v>
      </c>
      <c r="I11" s="15" t="n">
        <v>136893</v>
      </c>
      <c r="J11" s="7" t="s">
        <v>76</v>
      </c>
      <c r="K11" s="7" t="s">
        <v>68</v>
      </c>
      <c r="L11" s="14" t="n">
        <f aca="false">I11/1000</f>
        <v>136.893</v>
      </c>
      <c r="M11" s="14" t="n">
        <f aca="false">L11-H11</f>
        <v>6.393</v>
      </c>
      <c r="N11" s="16" t="n">
        <f aca="false">M11/ABS(H11)</f>
        <v>0.0489885057471264</v>
      </c>
      <c r="O11" s="10" t="str">
        <f aca="false">IF(L11&gt;G11,"Beat top",IF(L11&gt;=F11,"In range","Missed bottom"))</f>
        <v>Beat top</v>
      </c>
      <c r="P11" s="10" t="n">
        <f aca="false">IF(L11&gt;G11,1,0)</f>
        <v>1</v>
      </c>
      <c r="Q11" s="10" t="n">
        <f aca="false">IF(AND(L11&gt;=F11,L11&lt;=G11),1,0)</f>
        <v>0</v>
      </c>
      <c r="R11" s="10" t="n">
        <f aca="false">IF(L11&lt;F11,1,0)</f>
        <v>0</v>
      </c>
      <c r="S11" s="17" t="n">
        <v>-300</v>
      </c>
      <c r="T11" s="7" t="s">
        <v>77</v>
      </c>
      <c r="U11" s="7" t="s">
        <v>68</v>
      </c>
      <c r="Y11" s="10"/>
    </row>
    <row r="12" customFormat="false" ht="15" hidden="false" customHeight="false" outlineLevel="0" collapsed="false">
      <c r="A12" s="10" t="s">
        <v>78</v>
      </c>
      <c r="B12" s="7" t="s">
        <v>79</v>
      </c>
      <c r="C12" s="7" t="s">
        <v>68</v>
      </c>
      <c r="D12" s="11" t="n">
        <v>44879</v>
      </c>
      <c r="E12" s="12" t="s">
        <v>24</v>
      </c>
      <c r="F12" s="13" t="n">
        <v>140</v>
      </c>
      <c r="G12" s="13" t="n">
        <v>142</v>
      </c>
      <c r="H12" s="14" t="n">
        <f aca="false">(F12+G12)/2</f>
        <v>141</v>
      </c>
      <c r="I12" s="15" t="n">
        <v>149921</v>
      </c>
      <c r="J12" s="7" t="s">
        <v>80</v>
      </c>
      <c r="K12" s="7" t="s">
        <v>81</v>
      </c>
      <c r="L12" s="14" t="n">
        <f aca="false">I12/1000</f>
        <v>149.921</v>
      </c>
      <c r="M12" s="14" t="n">
        <f aca="false">L12-H12</f>
        <v>8.92099999999999</v>
      </c>
      <c r="N12" s="16" t="n">
        <f aca="false">M12/ABS(H12)</f>
        <v>0.0632695035460992</v>
      </c>
      <c r="O12" s="10" t="str">
        <f aca="false">IF(L12&gt;G12,"Beat top",IF(L12&gt;=F12,"In range","Missed bottom"))</f>
        <v>Beat top</v>
      </c>
      <c r="P12" s="10" t="n">
        <f aca="false">IF(L12&gt;G12,1,0)</f>
        <v>1</v>
      </c>
      <c r="Q12" s="10" t="n">
        <f aca="false">IF(AND(L12&gt;=F12,L12&lt;=G12),1,0)</f>
        <v>0</v>
      </c>
      <c r="R12" s="10" t="n">
        <f aca="false">IF(L12&lt;F12,1,0)</f>
        <v>0</v>
      </c>
      <c r="S12" s="17" t="n">
        <v>-300</v>
      </c>
      <c r="T12" s="7" t="s">
        <v>82</v>
      </c>
      <c r="U12" s="7" t="s">
        <v>81</v>
      </c>
      <c r="Y12" s="10"/>
    </row>
    <row r="13" customFormat="false" ht="15" hidden="false" customHeight="false" outlineLevel="0" collapsed="false">
      <c r="A13" s="10" t="s">
        <v>83</v>
      </c>
      <c r="B13" s="7" t="s">
        <v>84</v>
      </c>
      <c r="C13" s="7" t="s">
        <v>81</v>
      </c>
      <c r="D13" s="11" t="n">
        <v>44970</v>
      </c>
      <c r="E13" s="12" t="s">
        <v>24</v>
      </c>
      <c r="F13" s="13" t="n">
        <v>154</v>
      </c>
      <c r="G13" s="13" t="n">
        <v>156</v>
      </c>
      <c r="H13" s="14" t="n">
        <f aca="false">(F13+G13)/2</f>
        <v>155</v>
      </c>
      <c r="I13" s="15" t="n">
        <v>162256</v>
      </c>
      <c r="J13" s="7" t="s">
        <v>85</v>
      </c>
      <c r="K13" s="7" t="s">
        <v>86</v>
      </c>
      <c r="L13" s="14" t="n">
        <f aca="false">I13/1000</f>
        <v>162.256</v>
      </c>
      <c r="M13" s="14" t="n">
        <f aca="false">L13-H13</f>
        <v>7.256</v>
      </c>
      <c r="N13" s="16" t="n">
        <f aca="false">M13/ABS(H13)</f>
        <v>0.0468129032258065</v>
      </c>
      <c r="O13" s="10" t="str">
        <f aca="false">IF(L13&gt;G13,"Beat top",IF(L13&gt;=F13,"In range","Missed bottom"))</f>
        <v>Beat top</v>
      </c>
      <c r="P13" s="10" t="n">
        <f aca="false">IF(L13&gt;G13,1,0)</f>
        <v>1</v>
      </c>
      <c r="Q13" s="10" t="n">
        <f aca="false">IF(AND(L13&gt;=F13,L13&lt;=G13),1,0)</f>
        <v>0</v>
      </c>
      <c r="R13" s="10" t="n">
        <f aca="false">IF(L13&lt;F13,1,0)</f>
        <v>0</v>
      </c>
      <c r="S13" s="17" t="n">
        <v>-100</v>
      </c>
      <c r="T13" s="7" t="s">
        <v>87</v>
      </c>
      <c r="U13" s="7" t="s">
        <v>86</v>
      </c>
      <c r="Y13" s="10"/>
    </row>
    <row r="14" customFormat="false" ht="15" hidden="false" customHeight="false" outlineLevel="0" collapsed="false">
      <c r="A14" s="10" t="s">
        <v>88</v>
      </c>
      <c r="B14" s="7" t="s">
        <v>89</v>
      </c>
      <c r="C14" s="7" t="s">
        <v>86</v>
      </c>
      <c r="D14" s="11" t="n">
        <v>45061</v>
      </c>
      <c r="E14" s="12" t="s">
        <v>24</v>
      </c>
      <c r="F14" s="13" t="n">
        <v>168</v>
      </c>
      <c r="G14" s="13" t="n">
        <v>170</v>
      </c>
      <c r="H14" s="14" t="n">
        <f aca="false">(F14+G14)/2</f>
        <v>169</v>
      </c>
      <c r="I14" s="15" t="n">
        <v>175679</v>
      </c>
      <c r="J14" s="7" t="s">
        <v>90</v>
      </c>
      <c r="K14" s="7" t="s">
        <v>91</v>
      </c>
      <c r="L14" s="14" t="n">
        <f aca="false">I14/1000</f>
        <v>175.679</v>
      </c>
      <c r="M14" s="14" t="n">
        <f aca="false">L14-H14</f>
        <v>6.679</v>
      </c>
      <c r="N14" s="16" t="n">
        <f aca="false">M14/ABS(H14)</f>
        <v>0.0395207100591716</v>
      </c>
      <c r="O14" s="10" t="str">
        <f aca="false">IF(L14&gt;G14,"Beat top",IF(L14&gt;=F14,"In range","Missed bottom"))</f>
        <v>Beat top</v>
      </c>
      <c r="P14" s="10" t="n">
        <f aca="false">IF(L14&gt;G14,1,0)</f>
        <v>1</v>
      </c>
      <c r="Q14" s="10" t="n">
        <f aca="false">IF(AND(L14&gt;=F14,L14&lt;=G14),1,0)</f>
        <v>0</v>
      </c>
      <c r="R14" s="10" t="n">
        <f aca="false">IF(L14&lt;F14,1,0)</f>
        <v>0</v>
      </c>
      <c r="S14" s="17" t="n">
        <v>-100</v>
      </c>
      <c r="T14" s="7" t="s">
        <v>92</v>
      </c>
      <c r="U14" s="7" t="s">
        <v>91</v>
      </c>
      <c r="Y14" s="10"/>
    </row>
    <row r="15" customFormat="false" ht="15" hidden="false" customHeight="false" outlineLevel="0" collapsed="false">
      <c r="A15" s="10" t="s">
        <v>93</v>
      </c>
      <c r="B15" s="7" t="s">
        <v>94</v>
      </c>
      <c r="C15" s="7" t="s">
        <v>91</v>
      </c>
      <c r="D15" s="11" t="n">
        <v>45152</v>
      </c>
      <c r="E15" s="12" t="s">
        <v>24</v>
      </c>
      <c r="F15" s="13" t="n">
        <v>181</v>
      </c>
      <c r="G15" s="13" t="n">
        <v>183</v>
      </c>
      <c r="H15" s="14" t="n">
        <f aca="false">(F15+G15)/2</f>
        <v>182</v>
      </c>
      <c r="I15" s="15" t="n">
        <v>189190</v>
      </c>
      <c r="J15" s="7" t="s">
        <v>95</v>
      </c>
      <c r="K15" s="7" t="s">
        <v>96</v>
      </c>
      <c r="L15" s="14" t="n">
        <f aca="false">I15/1000</f>
        <v>189.19</v>
      </c>
      <c r="M15" s="14" t="n">
        <f aca="false">L15-H15</f>
        <v>7.19</v>
      </c>
      <c r="N15" s="16" t="n">
        <f aca="false">M15/ABS(H15)</f>
        <v>0.0395054945054945</v>
      </c>
      <c r="O15" s="10" t="str">
        <f aca="false">IF(L15&gt;G15,"Beat top",IF(L15&gt;=F15,"In range","Missed bottom"))</f>
        <v>Beat top</v>
      </c>
      <c r="P15" s="10" t="n">
        <f aca="false">IF(L15&gt;G15,1,0)</f>
        <v>1</v>
      </c>
      <c r="Q15" s="10" t="n">
        <f aca="false">IF(AND(L15&gt;=F15,L15&lt;=G15),1,0)</f>
        <v>0</v>
      </c>
      <c r="R15" s="10" t="n">
        <f aca="false">IF(L15&lt;F15,1,0)</f>
        <v>0</v>
      </c>
      <c r="S15" s="17" t="n">
        <v>0</v>
      </c>
      <c r="T15" s="7" t="s">
        <v>97</v>
      </c>
      <c r="U15" s="7" t="s">
        <v>96</v>
      </c>
      <c r="Y15" s="10"/>
    </row>
    <row r="16" customFormat="false" ht="15" hidden="false" customHeight="false" outlineLevel="0" collapsed="false">
      <c r="A16" s="10" t="s">
        <v>98</v>
      </c>
      <c r="B16" s="7" t="s">
        <v>99</v>
      </c>
      <c r="C16" s="7" t="s">
        <v>96</v>
      </c>
      <c r="D16" s="11" t="n">
        <v>45243</v>
      </c>
      <c r="E16" s="12" t="s">
        <v>24</v>
      </c>
      <c r="F16" s="13" t="n">
        <v>196</v>
      </c>
      <c r="G16" s="13" t="n">
        <v>198</v>
      </c>
      <c r="H16" s="14" t="n">
        <f aca="false">(F16+G16)/2</f>
        <v>197</v>
      </c>
      <c r="I16" s="15" t="n">
        <v>202570</v>
      </c>
      <c r="J16" s="7" t="s">
        <v>100</v>
      </c>
      <c r="K16" s="7" t="s">
        <v>101</v>
      </c>
      <c r="L16" s="14" t="n">
        <f aca="false">I16/1000</f>
        <v>202.57</v>
      </c>
      <c r="M16" s="14" t="n">
        <f aca="false">L16-H16</f>
        <v>5.56999999999999</v>
      </c>
      <c r="N16" s="16" t="n">
        <f aca="false">M16/ABS(H16)</f>
        <v>0.0282741116751269</v>
      </c>
      <c r="O16" s="10" t="str">
        <f aca="false">IF(L16&gt;G16,"Beat top",IF(L16&gt;=F16,"In range","Missed bottom"))</f>
        <v>Beat top</v>
      </c>
      <c r="P16" s="10" t="n">
        <f aca="false">IF(L16&gt;G16,1,0)</f>
        <v>1</v>
      </c>
      <c r="Q16" s="10" t="n">
        <f aca="false">IF(AND(L16&gt;=F16,L16&lt;=G16),1,0)</f>
        <v>0</v>
      </c>
      <c r="R16" s="10" t="n">
        <f aca="false">IF(L16&lt;F16,1,0)</f>
        <v>0</v>
      </c>
      <c r="S16" s="17" t="n">
        <v>0</v>
      </c>
      <c r="T16" s="7" t="s">
        <v>102</v>
      </c>
      <c r="U16" s="7" t="s">
        <v>101</v>
      </c>
      <c r="Y16" s="10"/>
    </row>
    <row r="17" customFormat="false" ht="15" hidden="false" customHeight="false" outlineLevel="0" collapsed="false">
      <c r="A17" s="10" t="s">
        <v>103</v>
      </c>
      <c r="B17" s="7" t="s">
        <v>104</v>
      </c>
      <c r="C17" s="7" t="s">
        <v>101</v>
      </c>
      <c r="D17" s="11" t="n">
        <v>45334</v>
      </c>
      <c r="E17" s="12" t="s">
        <v>24</v>
      </c>
      <c r="F17" s="13" t="n">
        <v>207</v>
      </c>
      <c r="G17" s="13" t="n">
        <v>211</v>
      </c>
      <c r="H17" s="14" t="n">
        <f aca="false">(F17+G17)/2</f>
        <v>209</v>
      </c>
      <c r="I17" s="15" t="n">
        <v>216913</v>
      </c>
      <c r="J17" s="7" t="s">
        <v>105</v>
      </c>
      <c r="K17" s="7" t="s">
        <v>106</v>
      </c>
      <c r="L17" s="14" t="n">
        <f aca="false">I17/1000</f>
        <v>216.913</v>
      </c>
      <c r="M17" s="14" t="n">
        <f aca="false">L17-H17</f>
        <v>7.91300000000001</v>
      </c>
      <c r="N17" s="16" t="n">
        <f aca="false">M17/ABS(H17)</f>
        <v>0.0378612440191388</v>
      </c>
      <c r="O17" s="10" t="str">
        <f aca="false">IF(L17&gt;G17,"Beat top",IF(L17&gt;=F17,"In range","Missed bottom"))</f>
        <v>Beat top</v>
      </c>
      <c r="P17" s="10" t="n">
        <f aca="false">IF(L17&gt;G17,1,0)</f>
        <v>1</v>
      </c>
      <c r="Q17" s="10" t="n">
        <f aca="false">IF(AND(L17&gt;=F17,L17&lt;=G17),1,0)</f>
        <v>0</v>
      </c>
      <c r="R17" s="10" t="n">
        <f aca="false">IF(L17&lt;F17,1,0)</f>
        <v>0</v>
      </c>
      <c r="S17" s="17" t="n">
        <v>0</v>
      </c>
      <c r="T17" s="7" t="s">
        <v>107</v>
      </c>
      <c r="U17" s="7" t="s">
        <v>106</v>
      </c>
      <c r="Y17" s="10"/>
    </row>
    <row r="18" customFormat="false" ht="15" hidden="false" customHeight="false" outlineLevel="0" collapsed="false">
      <c r="A18" s="10" t="s">
        <v>108</v>
      </c>
      <c r="B18" s="7" t="s">
        <v>109</v>
      </c>
      <c r="C18" s="7" t="s">
        <v>106</v>
      </c>
      <c r="D18" s="11" t="n">
        <v>45427</v>
      </c>
      <c r="E18" s="12" t="s">
        <v>24</v>
      </c>
      <c r="F18" s="13" t="n">
        <v>226</v>
      </c>
      <c r="G18" s="13" t="n">
        <v>230</v>
      </c>
      <c r="H18" s="14" t="n">
        <f aca="false">(F18+G18)/2</f>
        <v>228</v>
      </c>
      <c r="I18" s="15" t="n">
        <v>236106</v>
      </c>
      <c r="J18" s="7" t="s">
        <v>110</v>
      </c>
      <c r="K18" s="7" t="s">
        <v>111</v>
      </c>
      <c r="L18" s="14" t="n">
        <f aca="false">I18/1000</f>
        <v>236.106</v>
      </c>
      <c r="M18" s="14" t="n">
        <f aca="false">L18-H18</f>
        <v>8.106</v>
      </c>
      <c r="N18" s="16" t="n">
        <f aca="false">M18/ABS(H18)</f>
        <v>0.0355526315789473</v>
      </c>
      <c r="O18" s="10" t="str">
        <f aca="false">IF(L18&gt;G18,"Beat top",IF(L18&gt;=F18,"In range","Missed bottom"))</f>
        <v>Beat top</v>
      </c>
      <c r="P18" s="10" t="n">
        <f aca="false">IF(L18&gt;G18,1,0)</f>
        <v>1</v>
      </c>
      <c r="Q18" s="10" t="n">
        <f aca="false">IF(AND(L18&gt;=F18,L18&lt;=G18),1,0)</f>
        <v>0</v>
      </c>
      <c r="R18" s="10" t="n">
        <f aca="false">IF(L18&lt;F18,1,0)</f>
        <v>0</v>
      </c>
      <c r="S18" s="17" t="n">
        <v>0</v>
      </c>
      <c r="T18" s="7" t="s">
        <v>112</v>
      </c>
      <c r="U18" s="7" t="s">
        <v>111</v>
      </c>
      <c r="Y18" s="10"/>
    </row>
    <row r="19" customFormat="false" ht="15" hidden="false" customHeight="false" outlineLevel="0" collapsed="false">
      <c r="A19" s="10" t="s">
        <v>113</v>
      </c>
      <c r="B19" s="7" t="s">
        <v>114</v>
      </c>
      <c r="C19" s="7" t="s">
        <v>111</v>
      </c>
      <c r="D19" s="11" t="n">
        <v>45516</v>
      </c>
      <c r="E19" s="12" t="s">
        <v>24</v>
      </c>
      <c r="F19" s="13" t="n">
        <v>243</v>
      </c>
      <c r="G19" s="13" t="n">
        <v>247</v>
      </c>
      <c r="H19" s="14" t="n">
        <f aca="false">(F19+G19)/2</f>
        <v>245</v>
      </c>
      <c r="I19" s="15" t="n">
        <v>251000</v>
      </c>
      <c r="J19" s="7" t="s">
        <v>115</v>
      </c>
      <c r="K19" s="7" t="s">
        <v>116</v>
      </c>
      <c r="L19" s="14" t="n">
        <f aca="false">I19/1000</f>
        <v>251</v>
      </c>
      <c r="M19" s="14" t="n">
        <f aca="false">L19-H19</f>
        <v>6</v>
      </c>
      <c r="N19" s="16" t="n">
        <f aca="false">M19/ABS(H19)</f>
        <v>0.0244897959183673</v>
      </c>
      <c r="O19" s="10" t="str">
        <f aca="false">IF(L19&gt;G19,"Beat top",IF(L19&gt;=F19,"In range","Missed bottom"))</f>
        <v>Beat top</v>
      </c>
      <c r="P19" s="10" t="n">
        <f aca="false">IF(L19&gt;G19,1,0)</f>
        <v>1</v>
      </c>
      <c r="Q19" s="10" t="n">
        <f aca="false">IF(AND(L19&gt;=F19,L19&lt;=G19),1,0)</f>
        <v>0</v>
      </c>
      <c r="R19" s="10" t="n">
        <f aca="false">IF(L19&lt;F19,1,0)</f>
        <v>0</v>
      </c>
      <c r="Y19" s="10"/>
    </row>
    <row r="20" customFormat="false" ht="15" hidden="false" customHeight="false" outlineLevel="0" collapsed="false">
      <c r="A20" s="10" t="s">
        <v>117</v>
      </c>
      <c r="B20" s="7" t="s">
        <v>118</v>
      </c>
      <c r="C20" s="7" t="s">
        <v>116</v>
      </c>
      <c r="D20" s="11" t="n">
        <v>45608</v>
      </c>
      <c r="E20" s="12" t="s">
        <v>24</v>
      </c>
      <c r="F20" s="13" t="n">
        <v>260</v>
      </c>
      <c r="G20" s="13" t="n">
        <v>262</v>
      </c>
      <c r="H20" s="14" t="n">
        <f aca="false">(F20+G20)/2</f>
        <v>261</v>
      </c>
      <c r="I20" s="15" t="n">
        <v>267976</v>
      </c>
      <c r="J20" s="7" t="s">
        <v>119</v>
      </c>
      <c r="K20" s="7" t="s">
        <v>120</v>
      </c>
      <c r="L20" s="14" t="n">
        <f aca="false">I20/1000</f>
        <v>267.976</v>
      </c>
      <c r="M20" s="14" t="n">
        <f aca="false">L20-H20</f>
        <v>6.976</v>
      </c>
      <c r="N20" s="16" t="n">
        <f aca="false">M20/ABS(H20)</f>
        <v>0.026727969348659</v>
      </c>
      <c r="O20" s="10" t="str">
        <f aca="false">IF(L20&gt;G20,"Beat top",IF(L20&gt;=F20,"In range","Missed bottom"))</f>
        <v>Beat top</v>
      </c>
      <c r="P20" s="10" t="n">
        <f aca="false">IF(L20&gt;G20,1,0)</f>
        <v>1</v>
      </c>
      <c r="Q20" s="10" t="n">
        <f aca="false">IF(AND(L20&gt;=F20,L20&lt;=G20),1,0)</f>
        <v>0</v>
      </c>
      <c r="R20" s="10" t="n">
        <f aca="false">IF(L20&lt;F20,1,0)</f>
        <v>0</v>
      </c>
      <c r="Y20" s="10"/>
    </row>
    <row r="21" customFormat="false" ht="15" hidden="false" customHeight="false" outlineLevel="0" collapsed="false">
      <c r="A21" s="10" t="s">
        <v>121</v>
      </c>
      <c r="B21" s="7" t="s">
        <v>122</v>
      </c>
      <c r="C21" s="7" t="s">
        <v>120</v>
      </c>
      <c r="D21" s="11" t="n">
        <v>45698</v>
      </c>
      <c r="E21" s="12" t="s">
        <v>24</v>
      </c>
      <c r="F21" s="13" t="n">
        <v>274</v>
      </c>
      <c r="G21" s="13" t="n">
        <v>276</v>
      </c>
      <c r="H21" s="14" t="n">
        <f aca="false">(F21+G21)/2</f>
        <v>275</v>
      </c>
      <c r="I21" s="15" t="n">
        <v>282250</v>
      </c>
      <c r="J21" s="7" t="s">
        <v>123</v>
      </c>
      <c r="K21" s="7" t="s">
        <v>124</v>
      </c>
      <c r="L21" s="14" t="n">
        <f aca="false">I21/1000</f>
        <v>282.25</v>
      </c>
      <c r="M21" s="14" t="n">
        <f aca="false">L21-H21</f>
        <v>7.25</v>
      </c>
      <c r="N21" s="16" t="n">
        <f aca="false">M21/ABS(H21)</f>
        <v>0.0263636363636364</v>
      </c>
      <c r="O21" s="10" t="str">
        <f aca="false">IF(L21&gt;G21,"Beat top",IF(L21&gt;=F21,"In range","Missed bottom"))</f>
        <v>Beat top</v>
      </c>
      <c r="P21" s="10" t="n">
        <f aca="false">IF(L21&gt;G21,1,0)</f>
        <v>1</v>
      </c>
      <c r="Q21" s="10" t="n">
        <f aca="false">IF(AND(L21&gt;=F21,L21&lt;=G21),1,0)</f>
        <v>0</v>
      </c>
      <c r="R21" s="10" t="n">
        <f aca="false">IF(L21&lt;F21,1,0)</f>
        <v>0</v>
      </c>
      <c r="Y21" s="10"/>
    </row>
    <row r="22" customFormat="false" ht="15" hidden="false" customHeight="false" outlineLevel="0" collapsed="false">
      <c r="A22" s="10" t="s">
        <v>125</v>
      </c>
      <c r="B22" s="7" t="s">
        <v>126</v>
      </c>
      <c r="C22" s="7" t="s">
        <v>124</v>
      </c>
      <c r="D22" s="11" t="n">
        <v>45789</v>
      </c>
      <c r="E22" s="12" t="s">
        <v>24</v>
      </c>
      <c r="F22" s="13" t="n">
        <v>292</v>
      </c>
      <c r="G22" s="13" t="n">
        <v>294</v>
      </c>
      <c r="H22" s="14" t="n">
        <f aca="false">(F22+G22)/2</f>
        <v>293</v>
      </c>
      <c r="I22" s="15" t="n">
        <v>299014</v>
      </c>
      <c r="J22" s="7" t="s">
        <v>127</v>
      </c>
      <c r="K22" s="7" t="s">
        <v>128</v>
      </c>
      <c r="L22" s="14" t="n">
        <f aca="false">I22/1000</f>
        <v>299.014</v>
      </c>
      <c r="M22" s="14" t="n">
        <f aca="false">L22-H22</f>
        <v>6.01400000000001</v>
      </c>
      <c r="N22" s="16" t="n">
        <f aca="false">M22/ABS(H22)</f>
        <v>0.0205255972696246</v>
      </c>
      <c r="O22" s="10" t="str">
        <f aca="false">IF(L22&gt;G22,"Beat top",IF(L22&gt;=F22,"In range","Missed bottom"))</f>
        <v>Beat top</v>
      </c>
      <c r="P22" s="10" t="n">
        <f aca="false">IF(L22&gt;G22,1,0)</f>
        <v>1</v>
      </c>
      <c r="Q22" s="10" t="n">
        <f aca="false">IF(AND(L22&gt;=F22,L22&lt;=G22),1,0)</f>
        <v>0</v>
      </c>
      <c r="R22" s="10" t="n">
        <f aca="false">IF(L22&lt;F22,1,0)</f>
        <v>0</v>
      </c>
      <c r="Y22" s="10"/>
    </row>
    <row r="23" customFormat="false" ht="15" hidden="false" customHeight="false" outlineLevel="0" collapsed="false">
      <c r="A23" s="10" t="s">
        <v>129</v>
      </c>
      <c r="B23" s="7" t="s">
        <v>130</v>
      </c>
      <c r="C23" s="7" t="s">
        <v>128</v>
      </c>
      <c r="D23" s="11" t="n">
        <v>45880</v>
      </c>
      <c r="E23" s="12" t="s">
        <v>24</v>
      </c>
      <c r="F23" s="13" t="n">
        <v>311</v>
      </c>
      <c r="G23" s="13" t="n">
        <v>313</v>
      </c>
      <c r="H23" s="14" t="n">
        <f aca="false">(F23+G23)/2</f>
        <v>312</v>
      </c>
      <c r="I23" s="15" t="n">
        <v>316855</v>
      </c>
      <c r="J23" s="7" t="s">
        <v>131</v>
      </c>
      <c r="K23" s="7" t="s">
        <v>132</v>
      </c>
      <c r="L23" s="14" t="n">
        <f aca="false">I23/1000</f>
        <v>316.855</v>
      </c>
      <c r="M23" s="14" t="n">
        <f aca="false">L23-H23</f>
        <v>4.85500000000002</v>
      </c>
      <c r="N23" s="16" t="n">
        <f aca="false">M23/ABS(H23)</f>
        <v>0.0155608974358975</v>
      </c>
      <c r="O23" s="10" t="str">
        <f aca="false">IF(L23&gt;G23,"Beat top",IF(L23&gt;=F23,"In range","Missed bottom"))</f>
        <v>Beat top</v>
      </c>
      <c r="P23" s="10" t="n">
        <f aca="false">IF(L23&gt;G23,1,0)</f>
        <v>1</v>
      </c>
      <c r="Q23" s="10" t="n">
        <f aca="false">IF(AND(L23&gt;=F23,L23&lt;=G23),1,0)</f>
        <v>0</v>
      </c>
      <c r="R23" s="10" t="n">
        <f aca="false">IF(L23&lt;F23,1,0)</f>
        <v>0</v>
      </c>
      <c r="Y23" s="10"/>
    </row>
    <row r="24" customFormat="false" ht="15" hidden="false" customHeight="false" outlineLevel="0" collapsed="false">
      <c r="A24" s="10" t="s">
        <v>133</v>
      </c>
      <c r="B24" s="7" t="s">
        <v>134</v>
      </c>
      <c r="C24" s="7" t="s">
        <v>132</v>
      </c>
      <c r="D24" s="11" t="n">
        <v>45971</v>
      </c>
      <c r="E24" s="12" t="s">
        <v>24</v>
      </c>
      <c r="F24" s="13" t="n">
        <v>328</v>
      </c>
      <c r="G24" s="13" t="n">
        <v>330</v>
      </c>
      <c r="H24" s="14" t="n">
        <f aca="false">(F24+G24)/2</f>
        <v>329</v>
      </c>
      <c r="I24" s="15" t="n">
        <v>333878</v>
      </c>
      <c r="J24" s="7" t="s">
        <v>135</v>
      </c>
      <c r="K24" s="7" t="s">
        <v>136</v>
      </c>
      <c r="L24" s="14" t="n">
        <f aca="false">I24/1000</f>
        <v>333.878</v>
      </c>
      <c r="M24" s="14" t="n">
        <f aca="false">L24-H24</f>
        <v>4.87799999999999</v>
      </c>
      <c r="N24" s="16" t="n">
        <f aca="false">M24/ABS(H24)</f>
        <v>0.0148267477203647</v>
      </c>
      <c r="O24" s="10" t="str">
        <f aca="false">IF(L24&gt;G24,"Beat top",IF(L24&gt;=F24,"In range","Missed bottom"))</f>
        <v>Beat top</v>
      </c>
      <c r="P24" s="10" t="n">
        <f aca="false">IF(L24&gt;G24,1,0)</f>
        <v>1</v>
      </c>
      <c r="Q24" s="10" t="n">
        <f aca="false">IF(AND(L24&gt;=F24,L24&lt;=G24),1,0)</f>
        <v>0</v>
      </c>
      <c r="R24" s="10" t="n">
        <f aca="false">IF(L24&lt;F24,1,0)</f>
        <v>0</v>
      </c>
      <c r="V24" s="17" t="n">
        <v>-180</v>
      </c>
      <c r="W24" s="7" t="s">
        <v>137</v>
      </c>
      <c r="X24" s="7" t="s">
        <v>136</v>
      </c>
      <c r="Y24" s="10"/>
    </row>
    <row r="25" customFormat="false" ht="15" hidden="false" customHeight="false" outlineLevel="0" collapsed="false">
      <c r="A25" s="10" t="s">
        <v>138</v>
      </c>
      <c r="B25" s="7" t="s">
        <v>139</v>
      </c>
      <c r="C25" s="7" t="s">
        <v>136</v>
      </c>
      <c r="D25" s="11" t="n">
        <v>46062</v>
      </c>
      <c r="E25" s="12" t="s">
        <v>24</v>
      </c>
      <c r="F25" s="13" t="n">
        <v>338</v>
      </c>
      <c r="G25" s="13" t="n">
        <v>340</v>
      </c>
      <c r="H25" s="14" t="n">
        <f aca="false">(F25+G25)/2</f>
        <v>339</v>
      </c>
      <c r="I25" s="15" t="n">
        <v>351265</v>
      </c>
      <c r="J25" s="7" t="s">
        <v>140</v>
      </c>
      <c r="K25" s="7" t="s">
        <v>141</v>
      </c>
      <c r="L25" s="14" t="n">
        <f aca="false">I25/1000</f>
        <v>351.265</v>
      </c>
      <c r="M25" s="14" t="n">
        <f aca="false">L25-H25</f>
        <v>12.265</v>
      </c>
      <c r="N25" s="16" t="n">
        <f aca="false">M25/ABS(H25)</f>
        <v>0.0361799410029498</v>
      </c>
      <c r="O25" s="10" t="str">
        <f aca="false">IF(L25&gt;G25,"Beat top",IF(L25&gt;=F25,"In range","Missed bottom"))</f>
        <v>Beat top</v>
      </c>
      <c r="P25" s="10" t="n">
        <f aca="false">IF(L25&gt;G25,1,0)</f>
        <v>1</v>
      </c>
      <c r="Q25" s="10" t="n">
        <f aca="false">IF(AND(L25&gt;=F25,L25&lt;=G25),1,0)</f>
        <v>0</v>
      </c>
      <c r="R25" s="10" t="n">
        <f aca="false">IF(L25&lt;F25,1,0)</f>
        <v>0</v>
      </c>
      <c r="V25" s="17" t="n">
        <v>-190</v>
      </c>
      <c r="W25" s="7" t="s">
        <v>142</v>
      </c>
      <c r="X25" s="7" t="s">
        <v>141</v>
      </c>
      <c r="Y25" s="10"/>
    </row>
    <row r="26" customFormat="false" ht="15" hidden="false" customHeight="false" outlineLevel="0" collapsed="false">
      <c r="A26" s="10" t="s">
        <v>143</v>
      </c>
      <c r="B26" s="7" t="s">
        <v>144</v>
      </c>
      <c r="C26" s="7" t="s">
        <v>141</v>
      </c>
      <c r="D26" s="11" t="n">
        <v>46153</v>
      </c>
      <c r="E26" s="12" t="s">
        <v>24</v>
      </c>
      <c r="F26" s="13" t="n">
        <v>354</v>
      </c>
      <c r="G26" s="13" t="n">
        <v>356</v>
      </c>
      <c r="H26" s="14" t="n">
        <f aca="false">(F26+G26)/2</f>
        <v>355</v>
      </c>
      <c r="I26" s="15" t="n">
        <v>364621</v>
      </c>
      <c r="J26" s="7" t="s">
        <v>145</v>
      </c>
      <c r="K26" s="7" t="s">
        <v>146</v>
      </c>
      <c r="L26" s="14" t="n">
        <f aca="false">I26/1000</f>
        <v>364.621</v>
      </c>
      <c r="M26" s="14" t="n">
        <f aca="false">L26-H26</f>
        <v>9.62099999999998</v>
      </c>
      <c r="N26" s="16" t="n">
        <f aca="false">M26/ABS(H26)</f>
        <v>0.0271014084507042</v>
      </c>
      <c r="O26" s="10" t="str">
        <f aca="false">IF(L26&gt;G26,"Beat top",IF(L26&gt;=F26,"In range","Missed bottom"))</f>
        <v>Beat top</v>
      </c>
      <c r="P26" s="10" t="n">
        <f aca="false">IF(L26&gt;G26,1,0)</f>
        <v>1</v>
      </c>
      <c r="Q26" s="10" t="n">
        <f aca="false">IF(AND(L26&gt;=F26,L26&lt;=G26),1,0)</f>
        <v>0</v>
      </c>
      <c r="R26" s="10" t="n">
        <f aca="false">IF(L26&lt;F26,1,0)</f>
        <v>0</v>
      </c>
      <c r="S26" s="17" t="n">
        <v>110</v>
      </c>
      <c r="T26" s="7" t="s">
        <v>147</v>
      </c>
      <c r="U26" s="7" t="s">
        <v>146</v>
      </c>
      <c r="V26" s="17" t="n">
        <v>-210</v>
      </c>
      <c r="W26" s="7" t="s">
        <v>148</v>
      </c>
      <c r="X26" s="7" t="s">
        <v>146</v>
      </c>
      <c r="Y26" s="10"/>
    </row>
    <row r="29" customFormat="false" ht="15" hidden="false" customHeight="false" outlineLevel="0" collapsed="false">
      <c r="A29" s="4" t="s">
        <v>149</v>
      </c>
    </row>
    <row r="30" customFormat="false" ht="57.45" hidden="false" customHeight="false" outlineLevel="0" collapsed="false">
      <c r="A30" s="8" t="s">
        <v>25</v>
      </c>
      <c r="B30" s="8" t="s">
        <v>26</v>
      </c>
      <c r="C30" s="8" t="s">
        <v>27</v>
      </c>
      <c r="D30" s="8" t="s">
        <v>28</v>
      </c>
      <c r="E30" s="8" t="s">
        <v>29</v>
      </c>
      <c r="F30" s="8" t="s">
        <v>30</v>
      </c>
      <c r="G30" s="8" t="s">
        <v>31</v>
      </c>
      <c r="H30" s="8" t="s">
        <v>32</v>
      </c>
      <c r="I30" s="8" t="s">
        <v>33</v>
      </c>
      <c r="J30" s="8" t="s">
        <v>34</v>
      </c>
      <c r="K30" s="8" t="s">
        <v>35</v>
      </c>
      <c r="L30" s="8" t="s">
        <v>36</v>
      </c>
      <c r="M30" s="8" t="s">
        <v>37</v>
      </c>
      <c r="N30" s="8" t="s">
        <v>38</v>
      </c>
      <c r="O30" s="8" t="s">
        <v>39</v>
      </c>
      <c r="P30" s="8" t="s">
        <v>40</v>
      </c>
      <c r="Q30" s="8" t="s">
        <v>41</v>
      </c>
      <c r="R30" s="8" t="s">
        <v>42</v>
      </c>
      <c r="S30" s="8" t="s">
        <v>43</v>
      </c>
      <c r="T30" s="8" t="s">
        <v>44</v>
      </c>
      <c r="U30" s="8" t="s">
        <v>45</v>
      </c>
      <c r="V30" s="8" t="s">
        <v>46</v>
      </c>
      <c r="W30" s="8" t="s">
        <v>44</v>
      </c>
      <c r="X30" s="8" t="s">
        <v>45</v>
      </c>
      <c r="Y30" s="8" t="s">
        <v>47</v>
      </c>
    </row>
    <row r="31" customFormat="false" ht="43.25" hidden="false" customHeight="false" outlineLevel="0" collapsed="false">
      <c r="A31" s="9" t="s">
        <v>48</v>
      </c>
      <c r="B31" s="9" t="s">
        <v>49</v>
      </c>
      <c r="C31" s="9" t="s">
        <v>27</v>
      </c>
      <c r="D31" s="9" t="s">
        <v>50</v>
      </c>
      <c r="E31" s="9" t="s">
        <v>50</v>
      </c>
      <c r="F31" s="9" t="s">
        <v>51</v>
      </c>
      <c r="G31" s="9" t="s">
        <v>51</v>
      </c>
      <c r="H31" s="9" t="s">
        <v>52</v>
      </c>
      <c r="I31" s="9" t="s">
        <v>51</v>
      </c>
      <c r="J31" s="9" t="s">
        <v>49</v>
      </c>
      <c r="K31" s="9" t="s">
        <v>27</v>
      </c>
      <c r="L31" s="9" t="s">
        <v>52</v>
      </c>
      <c r="M31" s="9" t="s">
        <v>52</v>
      </c>
      <c r="N31" s="9" t="s">
        <v>52</v>
      </c>
      <c r="O31" s="9" t="s">
        <v>52</v>
      </c>
      <c r="P31" s="9" t="s">
        <v>52</v>
      </c>
      <c r="Q31" s="9" t="s">
        <v>52</v>
      </c>
      <c r="R31" s="9" t="s">
        <v>52</v>
      </c>
      <c r="S31" s="9" t="s">
        <v>51</v>
      </c>
      <c r="T31" s="9" t="s">
        <v>49</v>
      </c>
      <c r="U31" s="9" t="s">
        <v>27</v>
      </c>
      <c r="V31" s="9" t="s">
        <v>51</v>
      </c>
      <c r="W31" s="9" t="s">
        <v>49</v>
      </c>
      <c r="X31" s="9" t="s">
        <v>27</v>
      </c>
      <c r="Y31" s="9" t="s">
        <v>53</v>
      </c>
    </row>
    <row r="32" customFormat="false" ht="15" hidden="false" customHeight="false" outlineLevel="0" collapsed="false">
      <c r="A32" s="10" t="s">
        <v>54</v>
      </c>
      <c r="B32" s="7" t="s">
        <v>150</v>
      </c>
      <c r="C32" s="7" t="s">
        <v>56</v>
      </c>
      <c r="D32" s="11" t="n">
        <v>44425</v>
      </c>
      <c r="E32" s="12" t="s">
        <v>151</v>
      </c>
      <c r="F32" s="13" t="n">
        <v>-26</v>
      </c>
      <c r="G32" s="13" t="n">
        <v>-25</v>
      </c>
      <c r="H32" s="14" t="n">
        <f aca="false">(F32+G32)/2</f>
        <v>-25.5</v>
      </c>
      <c r="I32" s="15" t="n">
        <v>-9449</v>
      </c>
      <c r="J32" s="7" t="s">
        <v>152</v>
      </c>
      <c r="K32" s="7" t="s">
        <v>58</v>
      </c>
      <c r="L32" s="14" t="n">
        <f aca="false">I32/1000</f>
        <v>-9.449</v>
      </c>
      <c r="M32" s="14" t="n">
        <f aca="false">L32-H32</f>
        <v>16.051</v>
      </c>
      <c r="N32" s="16" t="n">
        <f aca="false">M32/ABS(H32)</f>
        <v>0.629450980392157</v>
      </c>
      <c r="O32" s="10" t="str">
        <f aca="false">IF(L32&gt;G32,"Beat top",IF(L32&gt;=F32,"In range","Missed bottom"))</f>
        <v>Beat top</v>
      </c>
      <c r="P32" s="10" t="n">
        <f aca="false">IF(L32&gt;G32,1,0)</f>
        <v>1</v>
      </c>
      <c r="Q32" s="10" t="n">
        <f aca="false">IF(AND(L32&gt;=F32,L32&lt;=G32),1,0)</f>
        <v>0</v>
      </c>
      <c r="R32" s="10" t="n">
        <f aca="false">IF(L32&lt;F32,1,0)</f>
        <v>0</v>
      </c>
      <c r="Y32" s="10" t="s">
        <v>153</v>
      </c>
    </row>
    <row r="33" customFormat="false" ht="15" hidden="false" customHeight="false" outlineLevel="0" collapsed="false">
      <c r="A33" s="10" t="s">
        <v>59</v>
      </c>
      <c r="B33" s="7" t="s">
        <v>154</v>
      </c>
      <c r="C33" s="7" t="s">
        <v>58</v>
      </c>
      <c r="D33" s="11" t="n">
        <v>44510</v>
      </c>
      <c r="E33" s="12" t="s">
        <v>151</v>
      </c>
      <c r="F33" s="13" t="n">
        <v>-23</v>
      </c>
      <c r="G33" s="13" t="n">
        <v>-22</v>
      </c>
      <c r="H33" s="14" t="n">
        <f aca="false">(F33+G33)/2</f>
        <v>-22.5</v>
      </c>
      <c r="I33" s="15" t="n">
        <v>-9929</v>
      </c>
      <c r="J33" s="7" t="s">
        <v>155</v>
      </c>
      <c r="K33" s="7" t="s">
        <v>62</v>
      </c>
      <c r="L33" s="14" t="n">
        <f aca="false">I33/1000</f>
        <v>-9.929</v>
      </c>
      <c r="M33" s="14" t="n">
        <f aca="false">L33-H33</f>
        <v>12.571</v>
      </c>
      <c r="N33" s="16" t="n">
        <f aca="false">M33/ABS(H33)</f>
        <v>0.558711111111111</v>
      </c>
      <c r="O33" s="10" t="str">
        <f aca="false">IF(L33&gt;G33,"Beat top",IF(L33&gt;=F33,"In range","Missed bottom"))</f>
        <v>Beat top</v>
      </c>
      <c r="P33" s="10" t="n">
        <f aca="false">IF(L33&gt;G33,1,0)</f>
        <v>1</v>
      </c>
      <c r="Q33" s="10" t="n">
        <f aca="false">IF(AND(L33&gt;=F33,L33&lt;=G33),1,0)</f>
        <v>0</v>
      </c>
      <c r="R33" s="10" t="n">
        <f aca="false">IF(L33&lt;F33,1,0)</f>
        <v>0</v>
      </c>
      <c r="Y33" s="10" t="s">
        <v>153</v>
      </c>
    </row>
    <row r="34" customFormat="false" ht="15" hidden="false" customHeight="false" outlineLevel="0" collapsed="false">
      <c r="A34" s="10" t="s">
        <v>63</v>
      </c>
      <c r="B34" s="7" t="s">
        <v>156</v>
      </c>
      <c r="C34" s="7" t="s">
        <v>62</v>
      </c>
      <c r="D34" s="11" t="n">
        <v>44615</v>
      </c>
      <c r="E34" s="12" t="s">
        <v>151</v>
      </c>
      <c r="F34" s="13" t="n">
        <v>-47</v>
      </c>
      <c r="G34" s="13" t="n">
        <v>-45</v>
      </c>
      <c r="H34" s="14" t="n">
        <f aca="false">(F34+G34)/2</f>
        <v>-46</v>
      </c>
      <c r="I34" s="15" t="n">
        <v>-43830</v>
      </c>
      <c r="J34" s="7" t="s">
        <v>157</v>
      </c>
      <c r="K34" s="7" t="s">
        <v>66</v>
      </c>
      <c r="L34" s="14" t="n">
        <f aca="false">I34/1000</f>
        <v>-43.83</v>
      </c>
      <c r="M34" s="14" t="n">
        <f aca="false">L34-H34</f>
        <v>2.17</v>
      </c>
      <c r="N34" s="16" t="n">
        <f aca="false">M34/ABS(H34)</f>
        <v>0.0471739130434783</v>
      </c>
      <c r="O34" s="10" t="str">
        <f aca="false">IF(L34&gt;G34,"Beat top",IF(L34&gt;=F34,"In range","Missed bottom"))</f>
        <v>Beat top</v>
      </c>
      <c r="P34" s="10" t="n">
        <f aca="false">IF(L34&gt;G34,1,0)</f>
        <v>1</v>
      </c>
      <c r="Q34" s="10" t="n">
        <f aca="false">IF(AND(L34&gt;=F34,L34&lt;=G34),1,0)</f>
        <v>0</v>
      </c>
      <c r="R34" s="10" t="n">
        <f aca="false">IF(L34&lt;F34,1,0)</f>
        <v>0</v>
      </c>
      <c r="S34" s="17" t="n">
        <v>-100</v>
      </c>
      <c r="T34" s="7" t="s">
        <v>67</v>
      </c>
      <c r="U34" s="7" t="s">
        <v>68</v>
      </c>
      <c r="Y34" s="10" t="s">
        <v>153</v>
      </c>
    </row>
    <row r="35" customFormat="false" ht="15" hidden="false" customHeight="false" outlineLevel="0" collapsed="false">
      <c r="A35" s="10" t="s">
        <v>69</v>
      </c>
      <c r="B35" s="7" t="s">
        <v>158</v>
      </c>
      <c r="C35" s="7" t="s">
        <v>66</v>
      </c>
      <c r="D35" s="11" t="n">
        <v>44697</v>
      </c>
      <c r="E35" s="12" t="s">
        <v>151</v>
      </c>
      <c r="F35" s="13" t="n">
        <v>-35</v>
      </c>
      <c r="G35" s="13" t="n">
        <v>-33</v>
      </c>
      <c r="H35" s="14" t="n">
        <f aca="false">(F35+G35)/2</f>
        <v>-34</v>
      </c>
      <c r="I35" s="15" t="n">
        <v>-15358</v>
      </c>
      <c r="J35" s="7" t="s">
        <v>159</v>
      </c>
      <c r="K35" s="7" t="s">
        <v>72</v>
      </c>
      <c r="L35" s="14" t="n">
        <f aca="false">I35/1000</f>
        <v>-15.358</v>
      </c>
      <c r="M35" s="14" t="n">
        <f aca="false">L35-H35</f>
        <v>18.642</v>
      </c>
      <c r="N35" s="16" t="n">
        <f aca="false">M35/ABS(H35)</f>
        <v>0.548294117647059</v>
      </c>
      <c r="O35" s="10" t="str">
        <f aca="false">IF(L35&gt;G35,"Beat top",IF(L35&gt;=F35,"In range","Missed bottom"))</f>
        <v>Beat top</v>
      </c>
      <c r="P35" s="10" t="n">
        <f aca="false">IF(L35&gt;G35,1,0)</f>
        <v>1</v>
      </c>
      <c r="Q35" s="10" t="n">
        <f aca="false">IF(AND(L35&gt;=F35,L35&lt;=G35),1,0)</f>
        <v>0</v>
      </c>
      <c r="R35" s="10" t="n">
        <f aca="false">IF(L35&lt;F35,1,0)</f>
        <v>0</v>
      </c>
      <c r="S35" s="17" t="n">
        <v>-200</v>
      </c>
      <c r="T35" s="7" t="s">
        <v>73</v>
      </c>
      <c r="U35" s="7" t="s">
        <v>68</v>
      </c>
      <c r="Y35" s="10" t="s">
        <v>153</v>
      </c>
    </row>
    <row r="36" customFormat="false" ht="15" hidden="false" customHeight="false" outlineLevel="0" collapsed="false">
      <c r="A36" s="10" t="s">
        <v>74</v>
      </c>
      <c r="B36" s="7" t="s">
        <v>160</v>
      </c>
      <c r="C36" s="7" t="s">
        <v>72</v>
      </c>
      <c r="D36" s="11" t="n">
        <v>44781</v>
      </c>
      <c r="E36" s="12" t="s">
        <v>151</v>
      </c>
      <c r="F36" s="13" t="n">
        <v>-25</v>
      </c>
      <c r="G36" s="13" t="n">
        <v>-24</v>
      </c>
      <c r="H36" s="14" t="n">
        <f aca="false">(F36+G36)/2</f>
        <v>-24.5</v>
      </c>
      <c r="I36" s="15" t="n">
        <v>-2185</v>
      </c>
      <c r="J36" s="7" t="s">
        <v>161</v>
      </c>
      <c r="K36" s="7" t="s">
        <v>68</v>
      </c>
      <c r="L36" s="14" t="n">
        <f aca="false">I36/1000</f>
        <v>-2.185</v>
      </c>
      <c r="M36" s="14" t="n">
        <f aca="false">L36-H36</f>
        <v>22.315</v>
      </c>
      <c r="N36" s="16" t="n">
        <f aca="false">M36/ABS(H36)</f>
        <v>0.910816326530612</v>
      </c>
      <c r="O36" s="10" t="str">
        <f aca="false">IF(L36&gt;G36,"Beat top",IF(L36&gt;=F36,"In range","Missed bottom"))</f>
        <v>Beat top</v>
      </c>
      <c r="P36" s="10" t="n">
        <f aca="false">IF(L36&gt;G36,1,0)</f>
        <v>1</v>
      </c>
      <c r="Q36" s="10" t="n">
        <f aca="false">IF(AND(L36&gt;=F36,L36&lt;=G36),1,0)</f>
        <v>0</v>
      </c>
      <c r="R36" s="10" t="n">
        <f aca="false">IF(L36&lt;F36,1,0)</f>
        <v>0</v>
      </c>
      <c r="S36" s="17" t="n">
        <v>-300</v>
      </c>
      <c r="T36" s="7" t="s">
        <v>77</v>
      </c>
      <c r="U36" s="7" t="s">
        <v>68</v>
      </c>
      <c r="Y36" s="10" t="s">
        <v>153</v>
      </c>
    </row>
    <row r="37" customFormat="false" ht="15" hidden="false" customHeight="false" outlineLevel="0" collapsed="false">
      <c r="A37" s="10" t="s">
        <v>78</v>
      </c>
      <c r="B37" s="7" t="s">
        <v>162</v>
      </c>
      <c r="C37" s="7" t="s">
        <v>68</v>
      </c>
      <c r="D37" s="11" t="n">
        <v>44879</v>
      </c>
      <c r="E37" s="12" t="s">
        <v>151</v>
      </c>
      <c r="F37" s="13" t="n">
        <v>-22</v>
      </c>
      <c r="G37" s="13" t="n">
        <v>-20</v>
      </c>
      <c r="H37" s="14" t="n">
        <f aca="false">(F37+G37)/2</f>
        <v>-21</v>
      </c>
      <c r="I37" s="15" t="n">
        <v>14278</v>
      </c>
      <c r="J37" s="7" t="s">
        <v>163</v>
      </c>
      <c r="K37" s="7" t="s">
        <v>81</v>
      </c>
      <c r="L37" s="14" t="n">
        <f aca="false">I37/1000</f>
        <v>14.278</v>
      </c>
      <c r="M37" s="14" t="n">
        <f aca="false">L37-H37</f>
        <v>35.278</v>
      </c>
      <c r="N37" s="16" t="n">
        <f aca="false">M37/ABS(H37)</f>
        <v>1.67990476190476</v>
      </c>
      <c r="O37" s="10" t="str">
        <f aca="false">IF(L37&gt;G37,"Beat top",IF(L37&gt;=F37,"In range","Missed bottom"))</f>
        <v>Beat top</v>
      </c>
      <c r="P37" s="10" t="n">
        <f aca="false">IF(L37&gt;G37,1,0)</f>
        <v>1</v>
      </c>
      <c r="Q37" s="10" t="n">
        <f aca="false">IF(AND(L37&gt;=F37,L37&lt;=G37),1,0)</f>
        <v>0</v>
      </c>
      <c r="R37" s="10" t="n">
        <f aca="false">IF(L37&lt;F37,1,0)</f>
        <v>0</v>
      </c>
      <c r="S37" s="17" t="n">
        <v>-300</v>
      </c>
      <c r="T37" s="7" t="s">
        <v>82</v>
      </c>
      <c r="U37" s="7" t="s">
        <v>81</v>
      </c>
      <c r="Y37" s="10" t="s">
        <v>153</v>
      </c>
    </row>
    <row r="38" customFormat="false" ht="15" hidden="false" customHeight="false" outlineLevel="0" collapsed="false">
      <c r="A38" s="10" t="s">
        <v>83</v>
      </c>
      <c r="B38" s="7" t="s">
        <v>164</v>
      </c>
      <c r="C38" s="7" t="s">
        <v>81</v>
      </c>
      <c r="D38" s="11" t="n">
        <v>44970</v>
      </c>
      <c r="E38" s="12" t="s">
        <v>151</v>
      </c>
      <c r="F38" s="13" t="n">
        <v>-19</v>
      </c>
      <c r="G38" s="13" t="n">
        <v>-17</v>
      </c>
      <c r="H38" s="14" t="n">
        <f aca="false">(F38+G38)/2</f>
        <v>-18</v>
      </c>
      <c r="I38" s="15" t="n">
        <v>-293</v>
      </c>
      <c r="J38" s="7" t="s">
        <v>165</v>
      </c>
      <c r="K38" s="7" t="s">
        <v>86</v>
      </c>
      <c r="L38" s="14" t="n">
        <f aca="false">I38/1000</f>
        <v>-0.293</v>
      </c>
      <c r="M38" s="14" t="n">
        <f aca="false">L38-H38</f>
        <v>17.707</v>
      </c>
      <c r="N38" s="16" t="n">
        <f aca="false">M38/ABS(H38)</f>
        <v>0.983722222222222</v>
      </c>
      <c r="O38" s="10" t="str">
        <f aca="false">IF(L38&gt;G38,"Beat top",IF(L38&gt;=F38,"In range","Missed bottom"))</f>
        <v>Beat top</v>
      </c>
      <c r="P38" s="10" t="n">
        <f aca="false">IF(L38&gt;G38,1,0)</f>
        <v>1</v>
      </c>
      <c r="Q38" s="10" t="n">
        <f aca="false">IF(AND(L38&gt;=F38,L38&lt;=G38),1,0)</f>
        <v>0</v>
      </c>
      <c r="R38" s="10" t="n">
        <f aca="false">IF(L38&lt;F38,1,0)</f>
        <v>0</v>
      </c>
      <c r="S38" s="17" t="n">
        <v>-100</v>
      </c>
      <c r="T38" s="7" t="s">
        <v>87</v>
      </c>
      <c r="U38" s="7" t="s">
        <v>86</v>
      </c>
      <c r="Y38" s="10" t="s">
        <v>153</v>
      </c>
    </row>
    <row r="39" customFormat="false" ht="15" hidden="false" customHeight="false" outlineLevel="0" collapsed="false">
      <c r="A39" s="10" t="s">
        <v>88</v>
      </c>
      <c r="B39" s="7" t="s">
        <v>166</v>
      </c>
      <c r="C39" s="7" t="s">
        <v>86</v>
      </c>
      <c r="D39" s="11" t="n">
        <v>45061</v>
      </c>
      <c r="E39" s="12" t="s">
        <v>151</v>
      </c>
      <c r="F39" s="13" t="n">
        <v>2</v>
      </c>
      <c r="G39" s="13" t="n">
        <v>4</v>
      </c>
      <c r="H39" s="14" t="n">
        <f aca="false">(F39+G39)/2</f>
        <v>3</v>
      </c>
      <c r="I39" s="15" t="n">
        <v>16617</v>
      </c>
      <c r="J39" s="7" t="s">
        <v>167</v>
      </c>
      <c r="K39" s="7" t="s">
        <v>91</v>
      </c>
      <c r="L39" s="14" t="n">
        <f aca="false">I39/1000</f>
        <v>16.617</v>
      </c>
      <c r="M39" s="14" t="n">
        <f aca="false">L39-H39</f>
        <v>13.617</v>
      </c>
      <c r="N39" s="16" t="n">
        <f aca="false">M39/ABS(H39)</f>
        <v>4.539</v>
      </c>
      <c r="O39" s="10" t="str">
        <f aca="false">IF(L39&gt;G39,"Beat top",IF(L39&gt;=F39,"In range","Missed bottom"))</f>
        <v>Beat top</v>
      </c>
      <c r="P39" s="10" t="n">
        <f aca="false">IF(L39&gt;G39,1,0)</f>
        <v>1</v>
      </c>
      <c r="Q39" s="10" t="n">
        <f aca="false">IF(AND(L39&gt;=F39,L39&lt;=G39),1,0)</f>
        <v>0</v>
      </c>
      <c r="R39" s="10" t="n">
        <f aca="false">IF(L39&lt;F39,1,0)</f>
        <v>0</v>
      </c>
      <c r="S39" s="17" t="n">
        <v>-100</v>
      </c>
      <c r="T39" s="7" t="s">
        <v>92</v>
      </c>
      <c r="U39" s="7" t="s">
        <v>91</v>
      </c>
      <c r="Y39" s="10"/>
    </row>
    <row r="40" customFormat="false" ht="15" hidden="false" customHeight="false" outlineLevel="0" collapsed="false">
      <c r="A40" s="10" t="s">
        <v>93</v>
      </c>
      <c r="B40" s="7" t="s">
        <v>168</v>
      </c>
      <c r="C40" s="7" t="s">
        <v>91</v>
      </c>
      <c r="D40" s="11" t="n">
        <v>45152</v>
      </c>
      <c r="E40" s="12" t="s">
        <v>151</v>
      </c>
      <c r="F40" s="13" t="n">
        <v>4</v>
      </c>
      <c r="G40" s="13" t="n">
        <v>6</v>
      </c>
      <c r="H40" s="14" t="n">
        <f aca="false">(F40+G40)/2</f>
        <v>5</v>
      </c>
      <c r="I40" s="15" t="n">
        <v>24077</v>
      </c>
      <c r="J40" s="7" t="s">
        <v>169</v>
      </c>
      <c r="K40" s="7" t="s">
        <v>96</v>
      </c>
      <c r="L40" s="14" t="n">
        <f aca="false">I40/1000</f>
        <v>24.077</v>
      </c>
      <c r="M40" s="14" t="n">
        <f aca="false">L40-H40</f>
        <v>19.077</v>
      </c>
      <c r="N40" s="16" t="n">
        <f aca="false">M40/ABS(H40)</f>
        <v>3.8154</v>
      </c>
      <c r="O40" s="10" t="str">
        <f aca="false">IF(L40&gt;G40,"Beat top",IF(L40&gt;=F40,"In range","Missed bottom"))</f>
        <v>Beat top</v>
      </c>
      <c r="P40" s="10" t="n">
        <f aca="false">IF(L40&gt;G40,1,0)</f>
        <v>1</v>
      </c>
      <c r="Q40" s="10" t="n">
        <f aca="false">IF(AND(L40&gt;=F40,L40&lt;=G40),1,0)</f>
        <v>0</v>
      </c>
      <c r="R40" s="10" t="n">
        <f aca="false">IF(L40&lt;F40,1,0)</f>
        <v>0</v>
      </c>
      <c r="S40" s="17" t="n">
        <v>0</v>
      </c>
      <c r="T40" s="7" t="s">
        <v>97</v>
      </c>
      <c r="U40" s="7" t="s">
        <v>96</v>
      </c>
      <c r="Y40" s="10"/>
    </row>
    <row r="41" customFormat="false" ht="15" hidden="false" customHeight="false" outlineLevel="0" collapsed="false">
      <c r="A41" s="10" t="s">
        <v>98</v>
      </c>
      <c r="B41" s="7" t="s">
        <v>170</v>
      </c>
      <c r="C41" s="7" t="s">
        <v>96</v>
      </c>
      <c r="D41" s="11" t="n">
        <v>45243</v>
      </c>
      <c r="E41" s="12" t="s">
        <v>151</v>
      </c>
      <c r="F41" s="13" t="n">
        <v>7</v>
      </c>
      <c r="G41" s="13" t="n">
        <v>9</v>
      </c>
      <c r="H41" s="14" t="n">
        <f aca="false">(F41+G41)/2</f>
        <v>8</v>
      </c>
      <c r="I41" s="15" t="n">
        <v>21200</v>
      </c>
      <c r="J41" s="7" t="s">
        <v>171</v>
      </c>
      <c r="K41" s="7" t="s">
        <v>101</v>
      </c>
      <c r="L41" s="14" t="n">
        <f aca="false">I41/1000</f>
        <v>21.2</v>
      </c>
      <c r="M41" s="14" t="n">
        <f aca="false">L41-H41</f>
        <v>13.2</v>
      </c>
      <c r="N41" s="16" t="n">
        <f aca="false">M41/ABS(H41)</f>
        <v>1.65</v>
      </c>
      <c r="O41" s="10" t="str">
        <f aca="false">IF(L41&gt;G41,"Beat top",IF(L41&gt;=F41,"In range","Missed bottom"))</f>
        <v>Beat top</v>
      </c>
      <c r="P41" s="10" t="n">
        <f aca="false">IF(L41&gt;G41,1,0)</f>
        <v>1</v>
      </c>
      <c r="Q41" s="10" t="n">
        <f aca="false">IF(AND(L41&gt;=F41,L41&lt;=G41),1,0)</f>
        <v>0</v>
      </c>
      <c r="R41" s="10" t="n">
        <f aca="false">IF(L41&lt;F41,1,0)</f>
        <v>0</v>
      </c>
      <c r="S41" s="17" t="n">
        <v>0</v>
      </c>
      <c r="T41" s="7" t="s">
        <v>102</v>
      </c>
      <c r="U41" s="7" t="s">
        <v>101</v>
      </c>
      <c r="Y41" s="10"/>
    </row>
    <row r="42" customFormat="false" ht="15" hidden="false" customHeight="false" outlineLevel="0" collapsed="false">
      <c r="A42" s="10" t="s">
        <v>103</v>
      </c>
      <c r="B42" s="7" t="s">
        <v>172</v>
      </c>
      <c r="C42" s="7" t="s">
        <v>101</v>
      </c>
      <c r="D42" s="11" t="n">
        <v>45334</v>
      </c>
      <c r="E42" s="12" t="s">
        <v>151</v>
      </c>
      <c r="F42" s="13" t="n">
        <v>8</v>
      </c>
      <c r="G42" s="13" t="n">
        <v>12</v>
      </c>
      <c r="H42" s="14" t="n">
        <f aca="false">(F42+G42)/2</f>
        <v>10</v>
      </c>
      <c r="I42" s="15" t="n">
        <v>21521</v>
      </c>
      <c r="J42" s="7" t="s">
        <v>173</v>
      </c>
      <c r="K42" s="7" t="s">
        <v>106</v>
      </c>
      <c r="L42" s="14" t="n">
        <f aca="false">I42/1000</f>
        <v>21.521</v>
      </c>
      <c r="M42" s="14" t="n">
        <f aca="false">L42-H42</f>
        <v>11.521</v>
      </c>
      <c r="N42" s="16" t="n">
        <f aca="false">M42/ABS(H42)</f>
        <v>1.1521</v>
      </c>
      <c r="O42" s="10" t="str">
        <f aca="false">IF(L42&gt;G42,"Beat top",IF(L42&gt;=F42,"In range","Missed bottom"))</f>
        <v>Beat top</v>
      </c>
      <c r="P42" s="10" t="n">
        <f aca="false">IF(L42&gt;G42,1,0)</f>
        <v>1</v>
      </c>
      <c r="Q42" s="10" t="n">
        <f aca="false">IF(AND(L42&gt;=F42,L42&lt;=G42),1,0)</f>
        <v>0</v>
      </c>
      <c r="R42" s="10" t="n">
        <f aca="false">IF(L42&lt;F42,1,0)</f>
        <v>0</v>
      </c>
      <c r="S42" s="17" t="n">
        <v>0</v>
      </c>
      <c r="T42" s="7" t="s">
        <v>107</v>
      </c>
      <c r="U42" s="7" t="s">
        <v>106</v>
      </c>
      <c r="Y42" s="10"/>
    </row>
    <row r="43" customFormat="false" ht="15" hidden="false" customHeight="false" outlineLevel="0" collapsed="false">
      <c r="A43" s="10" t="s">
        <v>108</v>
      </c>
      <c r="B43" s="7" t="s">
        <v>174</v>
      </c>
      <c r="C43" s="7" t="s">
        <v>106</v>
      </c>
      <c r="D43" s="11" t="n">
        <v>45427</v>
      </c>
      <c r="E43" s="12" t="s">
        <v>151</v>
      </c>
      <c r="F43" s="13" t="n">
        <v>17</v>
      </c>
      <c r="G43" s="13" t="n">
        <v>21</v>
      </c>
      <c r="H43" s="14" t="n">
        <f aca="false">(F43+G43)/2</f>
        <v>19</v>
      </c>
      <c r="I43" s="15" t="n">
        <v>38417</v>
      </c>
      <c r="J43" s="7" t="s">
        <v>175</v>
      </c>
      <c r="K43" s="7" t="s">
        <v>111</v>
      </c>
      <c r="L43" s="14" t="n">
        <f aca="false">I43/1000</f>
        <v>38.417</v>
      </c>
      <c r="M43" s="14" t="n">
        <f aca="false">L43-H43</f>
        <v>19.417</v>
      </c>
      <c r="N43" s="16" t="n">
        <f aca="false">M43/ABS(H43)</f>
        <v>1.02194736842105</v>
      </c>
      <c r="O43" s="10" t="str">
        <f aca="false">IF(L43&gt;G43,"Beat top",IF(L43&gt;=F43,"In range","Missed bottom"))</f>
        <v>Beat top</v>
      </c>
      <c r="P43" s="10" t="n">
        <f aca="false">IF(L43&gt;G43,1,0)</f>
        <v>1</v>
      </c>
      <c r="Q43" s="10" t="n">
        <f aca="false">IF(AND(L43&gt;=F43,L43&lt;=G43),1,0)</f>
        <v>0</v>
      </c>
      <c r="R43" s="10" t="n">
        <f aca="false">IF(L43&lt;F43,1,0)</f>
        <v>0</v>
      </c>
      <c r="S43" s="17" t="n">
        <v>0</v>
      </c>
      <c r="T43" s="7" t="s">
        <v>112</v>
      </c>
      <c r="U43" s="7" t="s">
        <v>111</v>
      </c>
      <c r="Y43" s="10"/>
    </row>
    <row r="44" customFormat="false" ht="15" hidden="false" customHeight="false" outlineLevel="0" collapsed="false">
      <c r="A44" s="10" t="s">
        <v>113</v>
      </c>
      <c r="B44" s="7" t="s">
        <v>176</v>
      </c>
      <c r="C44" s="7" t="s">
        <v>111</v>
      </c>
      <c r="D44" s="11" t="n">
        <v>45516</v>
      </c>
      <c r="E44" s="12" t="s">
        <v>151</v>
      </c>
      <c r="F44" s="13" t="n">
        <v>19</v>
      </c>
      <c r="G44" s="13" t="n">
        <v>23</v>
      </c>
      <c r="H44" s="14" t="n">
        <f aca="false">(F44+G44)/2</f>
        <v>21</v>
      </c>
      <c r="I44" s="15" t="n">
        <v>32180</v>
      </c>
      <c r="J44" s="7" t="s">
        <v>177</v>
      </c>
      <c r="K44" s="7" t="s">
        <v>116</v>
      </c>
      <c r="L44" s="14" t="n">
        <f aca="false">I44/1000</f>
        <v>32.18</v>
      </c>
      <c r="M44" s="14" t="n">
        <f aca="false">L44-H44</f>
        <v>11.18</v>
      </c>
      <c r="N44" s="16" t="n">
        <f aca="false">M44/ABS(H44)</f>
        <v>0.532380952380952</v>
      </c>
      <c r="O44" s="10" t="str">
        <f aca="false">IF(L44&gt;G44,"Beat top",IF(L44&gt;=F44,"In range","Missed bottom"))</f>
        <v>Beat top</v>
      </c>
      <c r="P44" s="10" t="n">
        <f aca="false">IF(L44&gt;G44,1,0)</f>
        <v>1</v>
      </c>
      <c r="Q44" s="10" t="n">
        <f aca="false">IF(AND(L44&gt;=F44,L44&lt;=G44),1,0)</f>
        <v>0</v>
      </c>
      <c r="R44" s="10" t="n">
        <f aca="false">IF(L44&lt;F44,1,0)</f>
        <v>0</v>
      </c>
      <c r="Y44" s="10"/>
    </row>
    <row r="45" customFormat="false" ht="15" hidden="false" customHeight="false" outlineLevel="0" collapsed="false">
      <c r="A45" s="10" t="s">
        <v>117</v>
      </c>
      <c r="B45" s="7" t="s">
        <v>178</v>
      </c>
      <c r="C45" s="7" t="s">
        <v>116</v>
      </c>
      <c r="D45" s="11" t="n">
        <v>45608</v>
      </c>
      <c r="E45" s="12" t="s">
        <v>151</v>
      </c>
      <c r="F45" s="13" t="n">
        <v>29</v>
      </c>
      <c r="G45" s="13" t="n">
        <v>31</v>
      </c>
      <c r="H45" s="14" t="n">
        <f aca="false">(F45+G45)/2</f>
        <v>30</v>
      </c>
      <c r="I45" s="15" t="n">
        <v>40265</v>
      </c>
      <c r="J45" s="7" t="s">
        <v>179</v>
      </c>
      <c r="K45" s="7" t="s">
        <v>120</v>
      </c>
      <c r="L45" s="14" t="n">
        <f aca="false">I45/1000</f>
        <v>40.265</v>
      </c>
      <c r="M45" s="14" t="n">
        <f aca="false">L45-H45</f>
        <v>10.265</v>
      </c>
      <c r="N45" s="16" t="n">
        <f aca="false">M45/ABS(H45)</f>
        <v>0.342166666666667</v>
      </c>
      <c r="O45" s="10" t="str">
        <f aca="false">IF(L45&gt;G45,"Beat top",IF(L45&gt;=F45,"In range","Missed bottom"))</f>
        <v>Beat top</v>
      </c>
      <c r="P45" s="10" t="n">
        <f aca="false">IF(L45&gt;G45,1,0)</f>
        <v>1</v>
      </c>
      <c r="Q45" s="10" t="n">
        <f aca="false">IF(AND(L45&gt;=F45,L45&lt;=G45),1,0)</f>
        <v>0</v>
      </c>
      <c r="R45" s="10" t="n">
        <f aca="false">IF(L45&lt;F45,1,0)</f>
        <v>0</v>
      </c>
      <c r="Y45" s="10"/>
    </row>
    <row r="46" customFormat="false" ht="15" hidden="false" customHeight="false" outlineLevel="0" collapsed="false">
      <c r="A46" s="10" t="s">
        <v>121</v>
      </c>
      <c r="B46" s="7" t="s">
        <v>180</v>
      </c>
      <c r="C46" s="7" t="s">
        <v>120</v>
      </c>
      <c r="D46" s="11" t="n">
        <v>45698</v>
      </c>
      <c r="E46" s="12" t="s">
        <v>151</v>
      </c>
      <c r="F46" s="13" t="n">
        <v>25</v>
      </c>
      <c r="G46" s="13" t="n">
        <v>27</v>
      </c>
      <c r="H46" s="14" t="n">
        <f aca="false">(F46+G46)/2</f>
        <v>26</v>
      </c>
      <c r="I46" s="15" t="n">
        <v>40754</v>
      </c>
      <c r="J46" s="7" t="s">
        <v>181</v>
      </c>
      <c r="K46" s="7" t="s">
        <v>124</v>
      </c>
      <c r="L46" s="14" t="n">
        <f aca="false">I46/1000</f>
        <v>40.754</v>
      </c>
      <c r="M46" s="14" t="n">
        <f aca="false">L46-H46</f>
        <v>14.754</v>
      </c>
      <c r="N46" s="16" t="n">
        <f aca="false">M46/ABS(H46)</f>
        <v>0.567461538461538</v>
      </c>
      <c r="O46" s="10" t="str">
        <f aca="false">IF(L46&gt;G46,"Beat top",IF(L46&gt;=F46,"In range","Missed bottom"))</f>
        <v>Beat top</v>
      </c>
      <c r="P46" s="10" t="n">
        <f aca="false">IF(L46&gt;G46,1,0)</f>
        <v>1</v>
      </c>
      <c r="Q46" s="10" t="n">
        <f aca="false">IF(AND(L46&gt;=F46,L46&lt;=G46),1,0)</f>
        <v>0</v>
      </c>
      <c r="R46" s="10" t="n">
        <f aca="false">IF(L46&lt;F46,1,0)</f>
        <v>0</v>
      </c>
      <c r="Y46" s="10"/>
    </row>
    <row r="47" customFormat="false" ht="15" hidden="false" customHeight="false" outlineLevel="0" collapsed="false">
      <c r="A47" s="10" t="s">
        <v>125</v>
      </c>
      <c r="B47" s="7" t="s">
        <v>182</v>
      </c>
      <c r="C47" s="7" t="s">
        <v>124</v>
      </c>
      <c r="D47" s="11" t="n">
        <v>45789</v>
      </c>
      <c r="E47" s="12" t="s">
        <v>151</v>
      </c>
      <c r="F47" s="13" t="n">
        <v>32</v>
      </c>
      <c r="G47" s="13" t="n">
        <v>34</v>
      </c>
      <c r="H47" s="14" t="n">
        <f aca="false">(F47+G47)/2</f>
        <v>33</v>
      </c>
      <c r="I47" s="15" t="n">
        <v>45094</v>
      </c>
      <c r="J47" s="7" t="s">
        <v>183</v>
      </c>
      <c r="K47" s="7" t="s">
        <v>128</v>
      </c>
      <c r="L47" s="14" t="n">
        <f aca="false">I47/1000</f>
        <v>45.094</v>
      </c>
      <c r="M47" s="14" t="n">
        <f aca="false">L47-H47</f>
        <v>12.094</v>
      </c>
      <c r="N47" s="16" t="n">
        <f aca="false">M47/ABS(H47)</f>
        <v>0.366484848484849</v>
      </c>
      <c r="O47" s="10" t="str">
        <f aca="false">IF(L47&gt;G47,"Beat top",IF(L47&gt;=F47,"In range","Missed bottom"))</f>
        <v>Beat top</v>
      </c>
      <c r="P47" s="10" t="n">
        <f aca="false">IF(L47&gt;G47,1,0)</f>
        <v>1</v>
      </c>
      <c r="Q47" s="10" t="n">
        <f aca="false">IF(AND(L47&gt;=F47,L47&lt;=G47),1,0)</f>
        <v>0</v>
      </c>
      <c r="R47" s="10" t="n">
        <f aca="false">IF(L47&lt;F47,1,0)</f>
        <v>0</v>
      </c>
      <c r="Y47" s="10"/>
    </row>
    <row r="48" customFormat="false" ht="15" hidden="false" customHeight="false" outlineLevel="0" collapsed="false">
      <c r="A48" s="10" t="s">
        <v>129</v>
      </c>
      <c r="B48" s="7" t="s">
        <v>184</v>
      </c>
      <c r="C48" s="7" t="s">
        <v>128</v>
      </c>
      <c r="D48" s="11" t="n">
        <v>45880</v>
      </c>
      <c r="E48" s="12" t="s">
        <v>151</v>
      </c>
      <c r="F48" s="13" t="n">
        <v>34</v>
      </c>
      <c r="G48" s="13" t="n">
        <v>36</v>
      </c>
      <c r="H48" s="14" t="n">
        <f aca="false">(F48+G48)/2</f>
        <v>35</v>
      </c>
      <c r="I48" s="15" t="n">
        <v>47484</v>
      </c>
      <c r="J48" s="7" t="s">
        <v>185</v>
      </c>
      <c r="K48" s="7" t="s">
        <v>132</v>
      </c>
      <c r="L48" s="14" t="n">
        <f aca="false">I48/1000</f>
        <v>47.484</v>
      </c>
      <c r="M48" s="14" t="n">
        <f aca="false">L48-H48</f>
        <v>12.484</v>
      </c>
      <c r="N48" s="16" t="n">
        <f aca="false">M48/ABS(H48)</f>
        <v>0.356685714285714</v>
      </c>
      <c r="O48" s="10" t="str">
        <f aca="false">IF(L48&gt;G48,"Beat top",IF(L48&gt;=F48,"In range","Missed bottom"))</f>
        <v>Beat top</v>
      </c>
      <c r="P48" s="10" t="n">
        <f aca="false">IF(L48&gt;G48,1,0)</f>
        <v>1</v>
      </c>
      <c r="Q48" s="10" t="n">
        <f aca="false">IF(AND(L48&gt;=F48,L48&lt;=G48),1,0)</f>
        <v>0</v>
      </c>
      <c r="R48" s="10" t="n">
        <f aca="false">IF(L48&lt;F48,1,0)</f>
        <v>0</v>
      </c>
      <c r="Y48" s="10"/>
    </row>
    <row r="49" customFormat="false" ht="15" hidden="false" customHeight="false" outlineLevel="0" collapsed="false">
      <c r="A49" s="10" t="s">
        <v>133</v>
      </c>
      <c r="B49" s="7" t="s">
        <v>186</v>
      </c>
      <c r="C49" s="7" t="s">
        <v>132</v>
      </c>
      <c r="D49" s="11" t="n">
        <v>45971</v>
      </c>
      <c r="E49" s="12" t="s">
        <v>151</v>
      </c>
      <c r="F49" s="13" t="n">
        <v>36</v>
      </c>
      <c r="G49" s="13" t="n">
        <v>38</v>
      </c>
      <c r="H49" s="14" t="n">
        <f aca="false">(F49+G49)/2</f>
        <v>37</v>
      </c>
      <c r="I49" s="15" t="n">
        <v>41931</v>
      </c>
      <c r="J49" s="7" t="s">
        <v>187</v>
      </c>
      <c r="K49" s="7" t="s">
        <v>136</v>
      </c>
      <c r="L49" s="14" t="n">
        <f aca="false">I49/1000</f>
        <v>41.931</v>
      </c>
      <c r="M49" s="14" t="n">
        <f aca="false">L49-H49</f>
        <v>4.931</v>
      </c>
      <c r="N49" s="16" t="n">
        <f aca="false">M49/ABS(H49)</f>
        <v>0.13327027027027</v>
      </c>
      <c r="O49" s="10" t="str">
        <f aca="false">IF(L49&gt;G49,"Beat top",IF(L49&gt;=F49,"In range","Missed bottom"))</f>
        <v>Beat top</v>
      </c>
      <c r="P49" s="10" t="n">
        <f aca="false">IF(L49&gt;G49,1,0)</f>
        <v>1</v>
      </c>
      <c r="Q49" s="10" t="n">
        <f aca="false">IF(AND(L49&gt;=F49,L49&lt;=G49),1,0)</f>
        <v>0</v>
      </c>
      <c r="R49" s="10" t="n">
        <f aca="false">IF(L49&lt;F49,1,0)</f>
        <v>0</v>
      </c>
      <c r="V49" s="17" t="n">
        <v>-180</v>
      </c>
      <c r="W49" s="7" t="s">
        <v>137</v>
      </c>
      <c r="X49" s="7" t="s">
        <v>136</v>
      </c>
      <c r="Y49" s="10" t="s">
        <v>188</v>
      </c>
    </row>
    <row r="50" customFormat="false" ht="15" hidden="false" customHeight="false" outlineLevel="0" collapsed="false">
      <c r="A50" s="10" t="s">
        <v>138</v>
      </c>
      <c r="B50" s="7" t="s">
        <v>189</v>
      </c>
      <c r="C50" s="7" t="s">
        <v>136</v>
      </c>
      <c r="D50" s="11" t="n">
        <v>46062</v>
      </c>
      <c r="E50" s="12" t="s">
        <v>151</v>
      </c>
      <c r="F50" s="13" t="n">
        <v>37</v>
      </c>
      <c r="G50" s="13" t="n">
        <v>39</v>
      </c>
      <c r="H50" s="14" t="n">
        <f aca="false">(F50+G50)/2</f>
        <v>38</v>
      </c>
      <c r="I50" s="15" t="n">
        <v>49037</v>
      </c>
      <c r="J50" s="7" t="s">
        <v>190</v>
      </c>
      <c r="K50" s="7" t="s">
        <v>141</v>
      </c>
      <c r="L50" s="14" t="n">
        <f aca="false">I50/1000</f>
        <v>49.037</v>
      </c>
      <c r="M50" s="14" t="n">
        <f aca="false">L50-H50</f>
        <v>11.037</v>
      </c>
      <c r="N50" s="16" t="n">
        <f aca="false">M50/ABS(H50)</f>
        <v>0.290447368421053</v>
      </c>
      <c r="O50" s="10" t="str">
        <f aca="false">IF(L50&gt;G50,"Beat top",IF(L50&gt;=F50,"In range","Missed bottom"))</f>
        <v>Beat top</v>
      </c>
      <c r="P50" s="10" t="n">
        <f aca="false">IF(L50&gt;G50,1,0)</f>
        <v>1</v>
      </c>
      <c r="Q50" s="10" t="n">
        <f aca="false">IF(AND(L50&gt;=F50,L50&lt;=G50),1,0)</f>
        <v>0</v>
      </c>
      <c r="R50" s="10" t="n">
        <f aca="false">IF(L50&lt;F50,1,0)</f>
        <v>0</v>
      </c>
      <c r="V50" s="17" t="n">
        <v>-190</v>
      </c>
      <c r="W50" s="7" t="s">
        <v>142</v>
      </c>
      <c r="X50" s="7" t="s">
        <v>141</v>
      </c>
      <c r="Y50" s="10" t="s">
        <v>191</v>
      </c>
    </row>
    <row r="51" customFormat="false" ht="15" hidden="false" customHeight="false" outlineLevel="0" collapsed="false">
      <c r="A51" s="10" t="s">
        <v>143</v>
      </c>
      <c r="B51" s="7" t="s">
        <v>192</v>
      </c>
      <c r="C51" s="7" t="s">
        <v>141</v>
      </c>
      <c r="D51" s="11" t="n">
        <v>46153</v>
      </c>
      <c r="E51" s="12" t="s">
        <v>151</v>
      </c>
      <c r="F51" s="13" t="n">
        <v>46</v>
      </c>
      <c r="G51" s="13" t="n">
        <v>48</v>
      </c>
      <c r="H51" s="14" t="n">
        <f aca="false">(F51+G51)/2</f>
        <v>47</v>
      </c>
      <c r="I51" s="15" t="n">
        <v>61110</v>
      </c>
      <c r="J51" s="7" t="s">
        <v>193</v>
      </c>
      <c r="K51" s="7" t="s">
        <v>146</v>
      </c>
      <c r="L51" s="14" t="n">
        <f aca="false">I51/1000</f>
        <v>61.11</v>
      </c>
      <c r="M51" s="14" t="n">
        <f aca="false">L51-H51</f>
        <v>14.11</v>
      </c>
      <c r="N51" s="16" t="n">
        <f aca="false">M51/ABS(H51)</f>
        <v>0.300212765957447</v>
      </c>
      <c r="O51" s="10" t="str">
        <f aca="false">IF(L51&gt;G51,"Beat top",IF(L51&gt;=F51,"In range","Missed bottom"))</f>
        <v>Beat top</v>
      </c>
      <c r="P51" s="10" t="n">
        <f aca="false">IF(L51&gt;G51,1,0)</f>
        <v>1</v>
      </c>
      <c r="Q51" s="10" t="n">
        <f aca="false">IF(AND(L51&gt;=F51,L51&lt;=G51),1,0)</f>
        <v>0</v>
      </c>
      <c r="R51" s="10" t="n">
        <f aca="false">IF(L51&lt;F51,1,0)</f>
        <v>0</v>
      </c>
      <c r="S51" s="17" t="n">
        <v>110</v>
      </c>
      <c r="T51" s="7" t="s">
        <v>147</v>
      </c>
      <c r="U51" s="7" t="s">
        <v>146</v>
      </c>
      <c r="V51" s="17" t="n">
        <v>-210</v>
      </c>
      <c r="W51" s="7" t="s">
        <v>148</v>
      </c>
      <c r="X51" s="7" t="s">
        <v>146</v>
      </c>
      <c r="Y51" s="10" t="s">
        <v>191</v>
      </c>
    </row>
    <row r="54" customFormat="false" ht="15" hidden="false" customHeight="false" outlineLevel="0" collapsed="false">
      <c r="A54" s="4" t="s">
        <v>194</v>
      </c>
    </row>
    <row r="55" customFormat="false" ht="57.45" hidden="false" customHeight="false" outlineLevel="0" collapsed="false">
      <c r="A55" s="8" t="s">
        <v>25</v>
      </c>
      <c r="B55" s="8" t="s">
        <v>26</v>
      </c>
      <c r="C55" s="8" t="s">
        <v>27</v>
      </c>
      <c r="D55" s="8" t="s">
        <v>28</v>
      </c>
      <c r="E55" s="8" t="s">
        <v>29</v>
      </c>
      <c r="F55" s="8" t="s">
        <v>30</v>
      </c>
      <c r="G55" s="8" t="s">
        <v>31</v>
      </c>
      <c r="H55" s="8" t="s">
        <v>32</v>
      </c>
      <c r="I55" s="8" t="s">
        <v>33</v>
      </c>
      <c r="J55" s="8" t="s">
        <v>34</v>
      </c>
      <c r="K55" s="8" t="s">
        <v>35</v>
      </c>
      <c r="L55" s="8" t="s">
        <v>36</v>
      </c>
      <c r="M55" s="8" t="s">
        <v>37</v>
      </c>
      <c r="N55" s="8" t="s">
        <v>38</v>
      </c>
      <c r="O55" s="8" t="s">
        <v>39</v>
      </c>
      <c r="P55" s="8" t="s">
        <v>40</v>
      </c>
      <c r="Q55" s="8" t="s">
        <v>41</v>
      </c>
      <c r="R55" s="8" t="s">
        <v>42</v>
      </c>
      <c r="S55" s="8" t="s">
        <v>43</v>
      </c>
      <c r="T55" s="8" t="s">
        <v>44</v>
      </c>
      <c r="U55" s="8" t="s">
        <v>45</v>
      </c>
      <c r="V55" s="8" t="s">
        <v>46</v>
      </c>
      <c r="W55" s="8" t="s">
        <v>44</v>
      </c>
      <c r="X55" s="8" t="s">
        <v>45</v>
      </c>
      <c r="Y55" s="8" t="s">
        <v>47</v>
      </c>
    </row>
    <row r="56" customFormat="false" ht="43.25" hidden="false" customHeight="false" outlineLevel="0" collapsed="false">
      <c r="A56" s="9" t="s">
        <v>48</v>
      </c>
      <c r="B56" s="9" t="s">
        <v>49</v>
      </c>
      <c r="C56" s="9" t="s">
        <v>27</v>
      </c>
      <c r="D56" s="9" t="s">
        <v>50</v>
      </c>
      <c r="E56" s="9" t="s">
        <v>50</v>
      </c>
      <c r="F56" s="9" t="s">
        <v>51</v>
      </c>
      <c r="G56" s="9" t="s">
        <v>51</v>
      </c>
      <c r="H56" s="9" t="s">
        <v>52</v>
      </c>
      <c r="I56" s="9" t="s">
        <v>51</v>
      </c>
      <c r="J56" s="9" t="s">
        <v>49</v>
      </c>
      <c r="K56" s="9" t="s">
        <v>27</v>
      </c>
      <c r="L56" s="9" t="s">
        <v>52</v>
      </c>
      <c r="M56" s="9" t="s">
        <v>52</v>
      </c>
      <c r="N56" s="9" t="s">
        <v>52</v>
      </c>
      <c r="O56" s="9" t="s">
        <v>52</v>
      </c>
      <c r="P56" s="9" t="s">
        <v>52</v>
      </c>
      <c r="Q56" s="9" t="s">
        <v>52</v>
      </c>
      <c r="R56" s="9" t="s">
        <v>52</v>
      </c>
      <c r="S56" s="9" t="s">
        <v>51</v>
      </c>
      <c r="T56" s="9" t="s">
        <v>49</v>
      </c>
      <c r="U56" s="9" t="s">
        <v>27</v>
      </c>
      <c r="V56" s="9" t="s">
        <v>51</v>
      </c>
      <c r="W56" s="9" t="s">
        <v>49</v>
      </c>
      <c r="X56" s="9" t="s">
        <v>27</v>
      </c>
      <c r="Y56" s="9" t="s">
        <v>53</v>
      </c>
    </row>
    <row r="57" customFormat="false" ht="15" hidden="false" customHeight="false" outlineLevel="0" collapsed="false">
      <c r="A57" s="10" t="s">
        <v>103</v>
      </c>
      <c r="B57" s="7" t="s">
        <v>195</v>
      </c>
      <c r="C57" s="7" t="s">
        <v>101</v>
      </c>
      <c r="D57" s="11" t="n">
        <v>45334</v>
      </c>
      <c r="E57" s="12" t="s">
        <v>196</v>
      </c>
      <c r="F57" s="13" t="n">
        <v>56</v>
      </c>
      <c r="G57" s="13" t="n">
        <v>60</v>
      </c>
      <c r="H57" s="14" t="n">
        <f aca="false">(F57+G57)/2</f>
        <v>58</v>
      </c>
      <c r="I57" s="15" t="n">
        <v>89894</v>
      </c>
      <c r="J57" s="7" t="s">
        <v>197</v>
      </c>
      <c r="K57" s="7" t="s">
        <v>106</v>
      </c>
      <c r="L57" s="14" t="n">
        <f aca="false">I57/1000</f>
        <v>89.894</v>
      </c>
      <c r="M57" s="14" t="n">
        <f aca="false">L57-H57</f>
        <v>31.894</v>
      </c>
      <c r="N57" s="16" t="n">
        <f aca="false">M57/ABS(H57)</f>
        <v>0.549896551724138</v>
      </c>
      <c r="O57" s="10" t="str">
        <f aca="false">IF(L57&gt;G57,"Beat top",IF(L57&gt;=F57,"In range","Missed bottom"))</f>
        <v>Beat top</v>
      </c>
      <c r="P57" s="10" t="n">
        <f aca="false">IF(L57&gt;G57,1,0)</f>
        <v>1</v>
      </c>
      <c r="Q57" s="10" t="n">
        <f aca="false">IF(AND(L57&gt;=F57,L57&lt;=G57),1,0)</f>
        <v>0</v>
      </c>
      <c r="R57" s="10" t="n">
        <f aca="false">IF(L57&lt;F57,1,0)</f>
        <v>0</v>
      </c>
      <c r="S57" s="17" t="n">
        <v>0</v>
      </c>
      <c r="T57" s="7" t="s">
        <v>107</v>
      </c>
      <c r="U57" s="7" t="s">
        <v>106</v>
      </c>
      <c r="Y57" s="10" t="s">
        <v>198</v>
      </c>
    </row>
    <row r="58" customFormat="false" ht="15" hidden="false" customHeight="false" outlineLevel="0" collapsed="false">
      <c r="A58" s="10" t="s">
        <v>108</v>
      </c>
      <c r="B58" s="7" t="s">
        <v>199</v>
      </c>
      <c r="C58" s="7" t="s">
        <v>106</v>
      </c>
      <c r="D58" s="11" t="n">
        <v>45427</v>
      </c>
      <c r="E58" s="12" t="s">
        <v>196</v>
      </c>
      <c r="F58" s="13" t="n">
        <v>47</v>
      </c>
      <c r="G58" s="13" t="n">
        <v>51</v>
      </c>
      <c r="H58" s="14" t="n">
        <f aca="false">(F58+G58)/2</f>
        <v>49</v>
      </c>
      <c r="I58" s="15" t="n">
        <v>50821</v>
      </c>
      <c r="J58" s="7" t="s">
        <v>200</v>
      </c>
      <c r="K58" s="7" t="s">
        <v>111</v>
      </c>
      <c r="L58" s="14" t="n">
        <f aca="false">I58/1000</f>
        <v>50.821</v>
      </c>
      <c r="M58" s="14" t="n">
        <f aca="false">L58-H58</f>
        <v>1.821</v>
      </c>
      <c r="N58" s="16" t="n">
        <f aca="false">M58/ABS(H58)</f>
        <v>0.0371632653061224</v>
      </c>
      <c r="O58" s="10" t="str">
        <f aca="false">IF(L58&gt;G58,"Beat top",IF(L58&gt;=F58,"In range","Missed bottom"))</f>
        <v>In range</v>
      </c>
      <c r="P58" s="10" t="n">
        <f aca="false">IF(L58&gt;G58,1,0)</f>
        <v>0</v>
      </c>
      <c r="Q58" s="10" t="n">
        <f aca="false">IF(AND(L58&gt;=F58,L58&lt;=G58),1,0)</f>
        <v>1</v>
      </c>
      <c r="R58" s="10" t="n">
        <f aca="false">IF(L58&lt;F58,1,0)</f>
        <v>0</v>
      </c>
      <c r="S58" s="17" t="n">
        <v>0</v>
      </c>
      <c r="T58" s="7" t="s">
        <v>112</v>
      </c>
      <c r="U58" s="7" t="s">
        <v>111</v>
      </c>
      <c r="Y58" s="10" t="s">
        <v>198</v>
      </c>
    </row>
    <row r="59" customFormat="false" ht="15" hidden="false" customHeight="false" outlineLevel="0" collapsed="false">
      <c r="A59" s="10" t="s">
        <v>113</v>
      </c>
      <c r="B59" s="7" t="s">
        <v>201</v>
      </c>
      <c r="C59" s="7" t="s">
        <v>111</v>
      </c>
      <c r="D59" s="11" t="n">
        <v>45516</v>
      </c>
      <c r="E59" s="12" t="s">
        <v>196</v>
      </c>
      <c r="F59" s="13" t="n">
        <v>70</v>
      </c>
      <c r="G59" s="13" t="n">
        <v>74</v>
      </c>
      <c r="H59" s="14" t="n">
        <f aca="false">(F59+G59)/2</f>
        <v>72</v>
      </c>
      <c r="I59" s="15" t="n">
        <v>82412</v>
      </c>
      <c r="J59" s="7" t="s">
        <v>202</v>
      </c>
      <c r="K59" s="7" t="s">
        <v>116</v>
      </c>
      <c r="L59" s="14" t="n">
        <f aca="false">I59/1000</f>
        <v>82.412</v>
      </c>
      <c r="M59" s="14" t="n">
        <f aca="false">L59-H59</f>
        <v>10.412</v>
      </c>
      <c r="N59" s="16" t="n">
        <f aca="false">M59/ABS(H59)</f>
        <v>0.144611111111111</v>
      </c>
      <c r="O59" s="10" t="str">
        <f aca="false">IF(L59&gt;G59,"Beat top",IF(L59&gt;=F59,"In range","Missed bottom"))</f>
        <v>Beat top</v>
      </c>
      <c r="P59" s="10" t="n">
        <f aca="false">IF(L59&gt;G59,1,0)</f>
        <v>1</v>
      </c>
      <c r="Q59" s="10" t="n">
        <f aca="false">IF(AND(L59&gt;=F59,L59&lt;=G59),1,0)</f>
        <v>0</v>
      </c>
      <c r="R59" s="10" t="n">
        <f aca="false">IF(L59&lt;F59,1,0)</f>
        <v>0</v>
      </c>
      <c r="Y59" s="10" t="s">
        <v>198</v>
      </c>
    </row>
    <row r="60" customFormat="false" ht="15" hidden="false" customHeight="false" outlineLevel="0" collapsed="false">
      <c r="A60" s="10" t="s">
        <v>117</v>
      </c>
      <c r="B60" s="7" t="s">
        <v>203</v>
      </c>
      <c r="C60" s="7" t="s">
        <v>116</v>
      </c>
      <c r="D60" s="11" t="n">
        <v>45608</v>
      </c>
      <c r="E60" s="12" t="s">
        <v>196</v>
      </c>
      <c r="F60" s="13" t="n">
        <v>63</v>
      </c>
      <c r="G60" s="13" t="n">
        <v>66</v>
      </c>
      <c r="H60" s="14" t="n">
        <f aca="false">(F60+G60)/2</f>
        <v>64.5</v>
      </c>
      <c r="I60" s="15" t="n">
        <v>72703</v>
      </c>
      <c r="J60" s="7" t="s">
        <v>204</v>
      </c>
      <c r="K60" s="7" t="s">
        <v>120</v>
      </c>
      <c r="L60" s="14" t="n">
        <f aca="false">I60/1000</f>
        <v>72.703</v>
      </c>
      <c r="M60" s="14" t="n">
        <f aca="false">L60-H60</f>
        <v>8.203</v>
      </c>
      <c r="N60" s="16" t="n">
        <f aca="false">M60/ABS(H60)</f>
        <v>0.127178294573643</v>
      </c>
      <c r="O60" s="10" t="str">
        <f aca="false">IF(L60&gt;G60,"Beat top",IF(L60&gt;=F60,"In range","Missed bottom"))</f>
        <v>Beat top</v>
      </c>
      <c r="P60" s="10" t="n">
        <f aca="false">IF(L60&gt;G60,1,0)</f>
        <v>1</v>
      </c>
      <c r="Q60" s="10" t="n">
        <f aca="false">IF(AND(L60&gt;=F60,L60&lt;=G60),1,0)</f>
        <v>0</v>
      </c>
      <c r="R60" s="10" t="n">
        <f aca="false">IF(L60&lt;F60,1,0)</f>
        <v>0</v>
      </c>
      <c r="Y60" s="10" t="s">
        <v>198</v>
      </c>
    </row>
    <row r="64" customFormat="false" ht="15" hidden="false" customHeight="false" outlineLevel="0" collapsed="false">
      <c r="A64" s="4" t="s">
        <v>205</v>
      </c>
    </row>
    <row r="65" customFormat="false" ht="23.85" hidden="false" customHeight="false" outlineLevel="0" collapsed="false">
      <c r="A65" s="8" t="s">
        <v>206</v>
      </c>
      <c r="B65" s="8" t="s">
        <v>207</v>
      </c>
      <c r="C65" s="8" t="s">
        <v>208</v>
      </c>
      <c r="D65" s="8" t="s">
        <v>209</v>
      </c>
      <c r="E65" s="8" t="s">
        <v>210</v>
      </c>
      <c r="F65" s="8" t="s">
        <v>211</v>
      </c>
      <c r="G65" s="8" t="s">
        <v>212</v>
      </c>
      <c r="H65" s="8" t="s">
        <v>213</v>
      </c>
      <c r="I65" s="8" t="s">
        <v>214</v>
      </c>
      <c r="J65" s="8" t="s">
        <v>215</v>
      </c>
      <c r="K65" s="8" t="s">
        <v>216</v>
      </c>
      <c r="L65" s="8" t="s">
        <v>217</v>
      </c>
      <c r="M65" s="8" t="s">
        <v>218</v>
      </c>
      <c r="N65" s="8" t="s">
        <v>219</v>
      </c>
    </row>
    <row r="66" customFormat="false" ht="22.35" hidden="false" customHeight="false" outlineLevel="0" collapsed="false">
      <c r="A66" s="9" t="s">
        <v>48</v>
      </c>
      <c r="B66" s="9" t="s">
        <v>48</v>
      </c>
      <c r="C66" s="9" t="s">
        <v>52</v>
      </c>
      <c r="D66" s="9" t="s">
        <v>52</v>
      </c>
      <c r="E66" s="9" t="s">
        <v>52</v>
      </c>
      <c r="F66" s="9" t="s">
        <v>52</v>
      </c>
      <c r="G66" s="9" t="s">
        <v>52</v>
      </c>
      <c r="H66" s="9" t="s">
        <v>52</v>
      </c>
      <c r="I66" s="9" t="s">
        <v>52</v>
      </c>
      <c r="J66" s="9" t="s">
        <v>52</v>
      </c>
      <c r="K66" s="9" t="s">
        <v>52</v>
      </c>
      <c r="L66" s="9" t="s">
        <v>52</v>
      </c>
      <c r="M66" s="9" t="s">
        <v>52</v>
      </c>
      <c r="N66" s="9" t="s">
        <v>52</v>
      </c>
    </row>
    <row r="67" customFormat="false" ht="15" hidden="false" customHeight="false" outlineLevel="0" collapsed="false">
      <c r="A67" s="10" t="s">
        <v>24</v>
      </c>
      <c r="B67" s="10" t="s">
        <v>220</v>
      </c>
      <c r="C67" s="10" t="n">
        <f aca="false">COUNT(L7:L26)</f>
        <v>20</v>
      </c>
      <c r="D67" s="14" t="n">
        <f aca="false">AVERAGE(M7:M26)</f>
        <v>7.28325</v>
      </c>
      <c r="E67" s="14" t="n">
        <f aca="false">MEDIAN(M7:M26)</f>
        <v>7.22</v>
      </c>
      <c r="F67" s="16" t="n">
        <f aca="false">AVERAGE(N7:N26)</f>
        <v>0.0430262437685346</v>
      </c>
      <c r="G67" s="16" t="n">
        <f aca="false">MEDIAN(N7:N26)</f>
        <v>0.0370205925110443</v>
      </c>
      <c r="H67" s="16" t="n">
        <f aca="false">STDEV(N7:N26)</f>
        <v>0.025658270974982</v>
      </c>
      <c r="I67" s="16" t="n">
        <f aca="false">MIN(N7:N26)</f>
        <v>0.0148267477203647</v>
      </c>
      <c r="J67" s="16" t="n">
        <f aca="false">MAX(N7:N26)</f>
        <v>0.114335570469799</v>
      </c>
      <c r="K67" s="16" t="n">
        <f aca="false">SUM(P7:P26)/C67</f>
        <v>1</v>
      </c>
      <c r="L67" s="16" t="n">
        <f aca="false">SUM(Q7:Q26)/C67</f>
        <v>0</v>
      </c>
      <c r="M67" s="16" t="n">
        <f aca="false">SUM(R7:R26)/C67</f>
        <v>0</v>
      </c>
      <c r="N67" s="10" t="str">
        <f aca="false">A7&amp;" to "&amp;A26</f>
        <v>Q3 2021 to Q2 2026</v>
      </c>
    </row>
    <row r="68" customFormat="false" ht="15" hidden="false" customHeight="false" outlineLevel="0" collapsed="false">
      <c r="A68" s="10" t="s">
        <v>24</v>
      </c>
      <c r="B68" s="10" t="s">
        <v>221</v>
      </c>
      <c r="C68" s="10" t="n">
        <f aca="false">COUNT(L19:L26)</f>
        <v>8</v>
      </c>
      <c r="D68" s="14" t="n">
        <f aca="false">AVERAGE(M19:M26)</f>
        <v>7.232375</v>
      </c>
      <c r="E68" s="14" t="n">
        <f aca="false">MEDIAN(M19:M26)</f>
        <v>6.495</v>
      </c>
      <c r="F68" s="16" t="n">
        <f aca="false">AVERAGE(N19:N26)</f>
        <v>0.0239719991887754</v>
      </c>
      <c r="G68" s="16" t="n">
        <f aca="false">MEDIAN(N19:N26)</f>
        <v>0.0254267161410019</v>
      </c>
      <c r="H68" s="16" t="n">
        <f aca="false">STDEV(N19:N26)</f>
        <v>0.00695568012823739</v>
      </c>
      <c r="I68" s="16" t="n">
        <f aca="false">MIN(N19:N26)</f>
        <v>0.0148267477203647</v>
      </c>
      <c r="J68" s="16" t="n">
        <f aca="false">MAX(N19:N26)</f>
        <v>0.0361799410029498</v>
      </c>
      <c r="K68" s="16" t="n">
        <f aca="false">SUM(P19:P26)/C68</f>
        <v>1</v>
      </c>
      <c r="L68" s="16" t="n">
        <f aca="false">SUM(Q19:Q26)/C68</f>
        <v>0</v>
      </c>
      <c r="M68" s="16" t="n">
        <f aca="false">SUM(R19:R26)/C68</f>
        <v>0</v>
      </c>
      <c r="N68" s="10" t="str">
        <f aca="false">A19&amp;" to "&amp;A26</f>
        <v>Q3 2024 to Q2 2026</v>
      </c>
    </row>
    <row r="69" customFormat="false" ht="15" hidden="false" customHeight="false" outlineLevel="0" collapsed="false">
      <c r="A69" s="10" t="s">
        <v>149</v>
      </c>
      <c r="B69" s="10" t="s">
        <v>220</v>
      </c>
      <c r="C69" s="10" t="n">
        <f aca="false">COUNT(L32:L51)</f>
        <v>20</v>
      </c>
      <c r="D69" s="14" t="n">
        <f aca="false">AVERAGE(M32:M51)</f>
        <v>14.62105</v>
      </c>
      <c r="E69" s="14" t="n">
        <f aca="false">MEDIAN(M32:M51)</f>
        <v>13.4085</v>
      </c>
      <c r="F69" s="16" t="n">
        <f aca="false">AVERAGE(N32:N51)</f>
        <v>1.02128154631005</v>
      </c>
      <c r="G69" s="16" t="n">
        <f aca="false">MEDIAN(N32:N51)</f>
        <v>0.563086324786325</v>
      </c>
      <c r="H69" s="16" t="n">
        <f aca="false">STDEV(N32:N51)</f>
        <v>1.17429906546135</v>
      </c>
      <c r="I69" s="16" t="n">
        <f aca="false">MIN(N32:N51)</f>
        <v>0.0471739130434783</v>
      </c>
      <c r="J69" s="16" t="n">
        <f aca="false">MAX(N32:N51)</f>
        <v>4.539</v>
      </c>
      <c r="K69" s="16" t="n">
        <f aca="false">SUM(P32:P51)/C69</f>
        <v>1</v>
      </c>
      <c r="L69" s="16" t="n">
        <f aca="false">SUM(Q32:Q51)/C69</f>
        <v>0</v>
      </c>
      <c r="M69" s="16" t="n">
        <f aca="false">SUM(R32:R51)/C69</f>
        <v>0</v>
      </c>
      <c r="N69" s="10" t="str">
        <f aca="false">A32&amp;" to "&amp;A51</f>
        <v>Q3 2021 to Q2 2026</v>
      </c>
    </row>
    <row r="70" customFormat="false" ht="15" hidden="false" customHeight="false" outlineLevel="0" collapsed="false">
      <c r="A70" s="10" t="s">
        <v>149</v>
      </c>
      <c r="B70" s="10" t="s">
        <v>221</v>
      </c>
      <c r="C70" s="10" t="n">
        <f aca="false">COUNT(L44:L51)</f>
        <v>8</v>
      </c>
      <c r="D70" s="14" t="n">
        <f aca="false">AVERAGE(M44:M51)</f>
        <v>11.356875</v>
      </c>
      <c r="E70" s="14" t="n">
        <f aca="false">MEDIAN(M44:M51)</f>
        <v>11.637</v>
      </c>
      <c r="F70" s="16" t="n">
        <f aca="false">AVERAGE(N44:N51)</f>
        <v>0.361138765616061</v>
      </c>
      <c r="G70" s="16" t="n">
        <f aca="false">MEDIAN(N44:N51)</f>
        <v>0.349426190476191</v>
      </c>
      <c r="H70" s="16" t="n">
        <f aca="false">STDEV(N44:N51)</f>
        <v>0.137806606814635</v>
      </c>
      <c r="I70" s="16" t="n">
        <f aca="false">MIN(N44:N51)</f>
        <v>0.13327027027027</v>
      </c>
      <c r="J70" s="16" t="n">
        <f aca="false">MAX(N44:N51)</f>
        <v>0.567461538461538</v>
      </c>
      <c r="K70" s="16" t="n">
        <f aca="false">SUM(P44:P51)/C70</f>
        <v>1</v>
      </c>
      <c r="L70" s="16" t="n">
        <f aca="false">SUM(Q44:Q51)/C70</f>
        <v>0</v>
      </c>
      <c r="M70" s="16" t="n">
        <f aca="false">SUM(R44:R51)/C70</f>
        <v>0</v>
      </c>
      <c r="N70" s="10" t="str">
        <f aca="false">A44&amp;" to "&amp;A51</f>
        <v>Q3 2024 to Q2 2026</v>
      </c>
    </row>
    <row r="71" customFormat="false" ht="15" hidden="false" customHeight="false" outlineLevel="0" collapsed="false">
      <c r="A71" s="10" t="s">
        <v>194</v>
      </c>
      <c r="B71" s="10" t="s">
        <v>220</v>
      </c>
      <c r="C71" s="10" t="n">
        <f aca="false">COUNT(L57:L60)</f>
        <v>4</v>
      </c>
      <c r="D71" s="14" t="n">
        <f aca="false">AVERAGE(M57:M60)</f>
        <v>13.0825</v>
      </c>
      <c r="E71" s="14" t="n">
        <f aca="false">MEDIAN(M57:M60)</f>
        <v>9.30750000000001</v>
      </c>
      <c r="F71" s="16" t="n">
        <f aca="false">AVERAGE(N57:N60)</f>
        <v>0.214712305678754</v>
      </c>
      <c r="G71" s="16" t="n">
        <f aca="false">MEDIAN(N57:N60)</f>
        <v>0.135894702842377</v>
      </c>
      <c r="H71" s="16" t="n">
        <f aca="false">STDEV(N57:N60)</f>
        <v>0.228362665595915</v>
      </c>
      <c r="I71" s="16" t="n">
        <f aca="false">MIN(N57:N60)</f>
        <v>0.0371632653061224</v>
      </c>
      <c r="J71" s="16" t="n">
        <f aca="false">MAX(N57:N60)</f>
        <v>0.549896551724138</v>
      </c>
      <c r="K71" s="16" t="n">
        <f aca="false">SUM(P57:P60)/C71</f>
        <v>0.75</v>
      </c>
      <c r="L71" s="16" t="n">
        <f aca="false">SUM(Q57:Q60)/C71</f>
        <v>0.25</v>
      </c>
      <c r="M71" s="16" t="n">
        <f aca="false">SUM(R57:R60)/C71</f>
        <v>0</v>
      </c>
      <c r="N71" s="10" t="str">
        <f aca="false">A57&amp;" to "&amp;A60</f>
        <v>Q1 2024 to Q4 2024</v>
      </c>
    </row>
    <row r="72" customFormat="false" ht="15" hidden="false" customHeight="false" outlineLevel="0" collapsed="false">
      <c r="A72" s="10" t="s">
        <v>194</v>
      </c>
      <c r="B72" s="10" t="s">
        <v>221</v>
      </c>
      <c r="C72" s="10" t="n">
        <f aca="false">COUNT(L57:L60)</f>
        <v>4</v>
      </c>
      <c r="D72" s="14" t="n">
        <f aca="false">AVERAGE(M57:M60)</f>
        <v>13.0825</v>
      </c>
      <c r="E72" s="14" t="n">
        <f aca="false">MEDIAN(M57:M60)</f>
        <v>9.30750000000001</v>
      </c>
      <c r="F72" s="16" t="n">
        <f aca="false">AVERAGE(N57:N60)</f>
        <v>0.214712305678754</v>
      </c>
      <c r="G72" s="16" t="n">
        <f aca="false">MEDIAN(N57:N60)</f>
        <v>0.135894702842377</v>
      </c>
      <c r="H72" s="16" t="n">
        <f aca="false">STDEV(N57:N60)</f>
        <v>0.228362665595915</v>
      </c>
      <c r="I72" s="16" t="n">
        <f aca="false">MIN(N57:N60)</f>
        <v>0.0371632653061224</v>
      </c>
      <c r="J72" s="16" t="n">
        <f aca="false">MAX(N57:N60)</f>
        <v>0.549896551724138</v>
      </c>
      <c r="K72" s="16" t="n">
        <f aca="false">SUM(P57:P60)/C72</f>
        <v>0.75</v>
      </c>
      <c r="L72" s="16" t="n">
        <f aca="false">SUM(Q57:Q60)/C72</f>
        <v>0.25</v>
      </c>
      <c r="M72" s="16" t="n">
        <f aca="false">SUM(R57:R60)/C72</f>
        <v>0</v>
      </c>
      <c r="N72" s="10" t="str">
        <f aca="false">A57&amp;" to "&amp;A60</f>
        <v>Q1 2024 to Q4 2024</v>
      </c>
    </row>
    <row r="74" customFormat="false" ht="15" hidden="false" customHeight="false" outlineLevel="0" collapsed="false">
      <c r="A74" s="7" t="s">
        <v>222</v>
      </c>
    </row>
    <row r="77" customFormat="false" ht="15" hidden="false" customHeight="false" outlineLevel="0" collapsed="false">
      <c r="A77" s="4" t="s">
        <v>223</v>
      </c>
    </row>
    <row r="78" customFormat="false" ht="35.05" hidden="false" customHeight="false" outlineLevel="0" collapsed="false">
      <c r="A78" s="8" t="s">
        <v>224</v>
      </c>
      <c r="B78" s="8" t="s">
        <v>26</v>
      </c>
      <c r="C78" s="8" t="s">
        <v>27</v>
      </c>
      <c r="D78" s="8" t="s">
        <v>225</v>
      </c>
      <c r="E78" s="8" t="s">
        <v>226</v>
      </c>
      <c r="F78" s="8" t="s">
        <v>30</v>
      </c>
      <c r="G78" s="8" t="s">
        <v>31</v>
      </c>
      <c r="H78" s="8" t="s">
        <v>32</v>
      </c>
      <c r="I78" s="8" t="s">
        <v>227</v>
      </c>
      <c r="J78" s="8" t="s">
        <v>34</v>
      </c>
      <c r="K78" s="8" t="s">
        <v>35</v>
      </c>
      <c r="L78" s="8" t="s">
        <v>228</v>
      </c>
      <c r="M78" s="8" t="s">
        <v>37</v>
      </c>
      <c r="N78" s="8" t="s">
        <v>229</v>
      </c>
      <c r="O78" s="8" t="s">
        <v>39</v>
      </c>
    </row>
    <row r="79" customFormat="false" ht="43.25" hidden="false" customHeight="false" outlineLevel="0" collapsed="false">
      <c r="A79" s="9" t="s">
        <v>48</v>
      </c>
      <c r="B79" s="9" t="s">
        <v>49</v>
      </c>
      <c r="C79" s="9" t="s">
        <v>27</v>
      </c>
      <c r="D79" s="9" t="s">
        <v>50</v>
      </c>
      <c r="E79" s="9" t="s">
        <v>50</v>
      </c>
      <c r="F79" s="9" t="s">
        <v>51</v>
      </c>
      <c r="G79" s="9" t="s">
        <v>51</v>
      </c>
      <c r="H79" s="9" t="s">
        <v>52</v>
      </c>
      <c r="I79" s="9" t="s">
        <v>51</v>
      </c>
      <c r="J79" s="9" t="s">
        <v>49</v>
      </c>
      <c r="K79" s="9" t="s">
        <v>27</v>
      </c>
      <c r="L79" s="9" t="s">
        <v>52</v>
      </c>
      <c r="M79" s="9" t="s">
        <v>52</v>
      </c>
      <c r="N79" s="9" t="s">
        <v>52</v>
      </c>
      <c r="O79" s="9" t="s">
        <v>52</v>
      </c>
    </row>
    <row r="80" customFormat="false" ht="15" hidden="false" customHeight="false" outlineLevel="0" collapsed="false">
      <c r="A80" s="10" t="s">
        <v>230</v>
      </c>
      <c r="B80" s="7" t="s">
        <v>231</v>
      </c>
      <c r="C80" s="7" t="s">
        <v>56</v>
      </c>
      <c r="D80" s="12" t="s">
        <v>232</v>
      </c>
      <c r="E80" s="12" t="s">
        <v>151</v>
      </c>
      <c r="F80" s="13" t="n">
        <v>-93</v>
      </c>
      <c r="G80" s="13" t="n">
        <v>-91</v>
      </c>
      <c r="H80" s="14" t="n">
        <f aca="false">(F80+G80)/2</f>
        <v>-92</v>
      </c>
      <c r="I80" s="15" t="n">
        <v>-52596</v>
      </c>
      <c r="J80" s="7" t="s">
        <v>233</v>
      </c>
      <c r="K80" s="7" t="s">
        <v>62</v>
      </c>
      <c r="L80" s="14" t="n">
        <f aca="false">I80/1000</f>
        <v>-52.596</v>
      </c>
      <c r="M80" s="14" t="n">
        <f aca="false">L80-H80</f>
        <v>39.404</v>
      </c>
      <c r="N80" s="16" t="n">
        <f aca="false">M80/ABS(H80)</f>
        <v>0.428304347826087</v>
      </c>
      <c r="O80" s="10" t="str">
        <f aca="false">IF(L80&gt;G80,"Beat top",IF(L80&gt;=F80,"In range","Missed bottom"))</f>
        <v>Beat top</v>
      </c>
    </row>
    <row r="81" customFormat="false" ht="15" hidden="false" customHeight="false" outlineLevel="0" collapsed="false">
      <c r="A81" s="10" t="s">
        <v>230</v>
      </c>
      <c r="B81" s="7" t="s">
        <v>234</v>
      </c>
      <c r="C81" s="7" t="s">
        <v>56</v>
      </c>
      <c r="D81" s="12" t="s">
        <v>232</v>
      </c>
      <c r="E81" s="12" t="s">
        <v>24</v>
      </c>
      <c r="F81" s="13" t="n">
        <v>280</v>
      </c>
      <c r="G81" s="13" t="n">
        <v>282</v>
      </c>
      <c r="H81" s="14" t="n">
        <f aca="false">(F81+G81)/2</f>
        <v>281</v>
      </c>
      <c r="I81" s="15" t="n">
        <v>308150</v>
      </c>
      <c r="J81" s="7" t="s">
        <v>235</v>
      </c>
      <c r="K81" s="7" t="s">
        <v>62</v>
      </c>
      <c r="L81" s="14" t="n">
        <f aca="false">I81/1000</f>
        <v>308.15</v>
      </c>
      <c r="M81" s="14" t="n">
        <f aca="false">L81-H81</f>
        <v>27.15</v>
      </c>
      <c r="N81" s="16" t="n">
        <f aca="false">M81/ABS(H81)</f>
        <v>0.0966192170818505</v>
      </c>
      <c r="O81" s="10" t="str">
        <f aca="false">IF(L81&gt;G81,"Beat top",IF(L81&gt;=F81,"In range","Missed bottom"))</f>
        <v>Beat top</v>
      </c>
    </row>
    <row r="82" customFormat="false" ht="15" hidden="false" customHeight="false" outlineLevel="0" collapsed="false">
      <c r="A82" s="10" t="s">
        <v>230</v>
      </c>
      <c r="B82" s="7" t="s">
        <v>236</v>
      </c>
      <c r="C82" s="7" t="s">
        <v>58</v>
      </c>
      <c r="D82" s="12" t="s">
        <v>54</v>
      </c>
      <c r="E82" s="12" t="s">
        <v>151</v>
      </c>
      <c r="F82" s="13" t="n">
        <v>-65</v>
      </c>
      <c r="G82" s="13" t="n">
        <v>-64</v>
      </c>
      <c r="H82" s="14" t="n">
        <f aca="false">(F82+G82)/2</f>
        <v>-64.5</v>
      </c>
      <c r="I82" s="15" t="n">
        <v>-52596</v>
      </c>
      <c r="J82" s="7" t="s">
        <v>233</v>
      </c>
      <c r="K82" s="7" t="s">
        <v>62</v>
      </c>
      <c r="L82" s="14" t="n">
        <f aca="false">I82/1000</f>
        <v>-52.596</v>
      </c>
      <c r="M82" s="14" t="n">
        <f aca="false">L82-H82</f>
        <v>11.904</v>
      </c>
      <c r="N82" s="16" t="n">
        <f aca="false">M82/ABS(H82)</f>
        <v>0.184558139534884</v>
      </c>
      <c r="O82" s="10" t="str">
        <f aca="false">IF(L82&gt;G82,"Beat top",IF(L82&gt;=F82,"In range","Missed bottom"))</f>
        <v>Beat top</v>
      </c>
    </row>
    <row r="83" customFormat="false" ht="15" hidden="false" customHeight="false" outlineLevel="0" collapsed="false">
      <c r="A83" s="10" t="s">
        <v>230</v>
      </c>
      <c r="B83" s="7" t="s">
        <v>237</v>
      </c>
      <c r="C83" s="7" t="s">
        <v>58</v>
      </c>
      <c r="D83" s="12" t="s">
        <v>54</v>
      </c>
      <c r="E83" s="12" t="s">
        <v>24</v>
      </c>
      <c r="F83" s="13" t="n">
        <v>300</v>
      </c>
      <c r="G83" s="13" t="n">
        <v>301</v>
      </c>
      <c r="H83" s="14" t="n">
        <f aca="false">(F83+G83)/2</f>
        <v>300.5</v>
      </c>
      <c r="I83" s="15" t="n">
        <v>308150</v>
      </c>
      <c r="J83" s="7" t="s">
        <v>235</v>
      </c>
      <c r="K83" s="7" t="s">
        <v>62</v>
      </c>
      <c r="L83" s="14" t="n">
        <f aca="false">I83/1000</f>
        <v>308.15</v>
      </c>
      <c r="M83" s="14" t="n">
        <f aca="false">L83-H83</f>
        <v>7.64999999999998</v>
      </c>
      <c r="N83" s="16" t="n">
        <f aca="false">M83/ABS(H83)</f>
        <v>0.0254575707154741</v>
      </c>
      <c r="O83" s="10" t="str">
        <f aca="false">IF(L83&gt;G83,"Beat top",IF(L83&gt;=F83,"In range","Missed bottom"))</f>
        <v>Beat top</v>
      </c>
    </row>
    <row r="84" customFormat="false" ht="15" hidden="false" customHeight="false" outlineLevel="0" collapsed="false">
      <c r="A84" s="10" t="s">
        <v>238</v>
      </c>
      <c r="B84" s="7" t="s">
        <v>239</v>
      </c>
      <c r="C84" s="7" t="s">
        <v>62</v>
      </c>
      <c r="D84" s="12" t="s">
        <v>59</v>
      </c>
      <c r="E84" s="12" t="s">
        <v>151</v>
      </c>
      <c r="F84" s="13" t="n">
        <v>-147</v>
      </c>
      <c r="G84" s="13" t="n">
        <v>-142</v>
      </c>
      <c r="H84" s="14" t="n">
        <f aca="false">(F84+G84)/2</f>
        <v>-144.5</v>
      </c>
      <c r="I84" s="15" t="n">
        <v>-47095</v>
      </c>
      <c r="J84" s="7" t="s">
        <v>240</v>
      </c>
      <c r="K84" s="7" t="s">
        <v>81</v>
      </c>
      <c r="L84" s="14" t="n">
        <f aca="false">I84/1000</f>
        <v>-47.095</v>
      </c>
      <c r="M84" s="14" t="n">
        <f aca="false">L84-H84</f>
        <v>97.405</v>
      </c>
      <c r="N84" s="16" t="n">
        <f aca="false">M84/ABS(H84)</f>
        <v>0.674083044982699</v>
      </c>
      <c r="O84" s="10" t="str">
        <f aca="false">IF(L84&gt;G84,"Beat top",IF(L84&gt;=F84,"In range","Missed bottom"))</f>
        <v>Beat top</v>
      </c>
    </row>
    <row r="85" customFormat="false" ht="15" hidden="false" customHeight="false" outlineLevel="0" collapsed="false">
      <c r="A85" s="10" t="s">
        <v>238</v>
      </c>
      <c r="B85" s="7" t="s">
        <v>241</v>
      </c>
      <c r="C85" s="7" t="s">
        <v>62</v>
      </c>
      <c r="D85" s="12" t="s">
        <v>59</v>
      </c>
      <c r="E85" s="12" t="s">
        <v>24</v>
      </c>
      <c r="F85" s="13" t="n">
        <v>470</v>
      </c>
      <c r="G85" s="13" t="n">
        <v>475</v>
      </c>
      <c r="H85" s="14" t="n">
        <f aca="false">(F85+G85)/2</f>
        <v>472.5</v>
      </c>
      <c r="I85" s="15" t="n">
        <v>519029</v>
      </c>
      <c r="J85" s="7" t="s">
        <v>242</v>
      </c>
      <c r="K85" s="7" t="s">
        <v>81</v>
      </c>
      <c r="L85" s="14" t="n">
        <f aca="false">I85/1000</f>
        <v>519.029</v>
      </c>
      <c r="M85" s="14" t="n">
        <f aca="false">L85-H85</f>
        <v>46.529</v>
      </c>
      <c r="N85" s="16" t="n">
        <f aca="false">M85/ABS(H85)</f>
        <v>0.0984740740740741</v>
      </c>
      <c r="O85" s="10" t="str">
        <f aca="false">IF(L85&gt;G85,"Beat top",IF(L85&gt;=F85,"In range","Missed bottom"))</f>
        <v>Beat top</v>
      </c>
    </row>
    <row r="86" customFormat="false" ht="15" hidden="false" customHeight="false" outlineLevel="0" collapsed="false">
      <c r="A86" s="10" t="s">
        <v>238</v>
      </c>
      <c r="B86" s="7" t="s">
        <v>243</v>
      </c>
      <c r="C86" s="7" t="s">
        <v>66</v>
      </c>
      <c r="D86" s="12" t="s">
        <v>63</v>
      </c>
      <c r="E86" s="12" t="s">
        <v>151</v>
      </c>
      <c r="F86" s="13" t="n">
        <v>-139</v>
      </c>
      <c r="G86" s="13" t="n">
        <v>-135</v>
      </c>
      <c r="H86" s="14" t="n">
        <f aca="false">(F86+G86)/2</f>
        <v>-137</v>
      </c>
      <c r="I86" s="15" t="n">
        <v>-47095</v>
      </c>
      <c r="J86" s="7" t="s">
        <v>240</v>
      </c>
      <c r="K86" s="7" t="s">
        <v>81</v>
      </c>
      <c r="L86" s="14" t="n">
        <f aca="false">I86/1000</f>
        <v>-47.095</v>
      </c>
      <c r="M86" s="14" t="n">
        <f aca="false">L86-H86</f>
        <v>89.905</v>
      </c>
      <c r="N86" s="16" t="n">
        <f aca="false">M86/ABS(H86)</f>
        <v>0.656240875912409</v>
      </c>
      <c r="O86" s="10" t="str">
        <f aca="false">IF(L86&gt;G86,"Beat top",IF(L86&gt;=F86,"In range","Missed bottom"))</f>
        <v>Beat top</v>
      </c>
    </row>
    <row r="87" customFormat="false" ht="15" hidden="false" customHeight="false" outlineLevel="0" collapsed="false">
      <c r="A87" s="10" t="s">
        <v>238</v>
      </c>
      <c r="B87" s="7" t="s">
        <v>244</v>
      </c>
      <c r="C87" s="7" t="s">
        <v>66</v>
      </c>
      <c r="D87" s="12" t="s">
        <v>63</v>
      </c>
      <c r="E87" s="12" t="s">
        <v>24</v>
      </c>
      <c r="F87" s="13" t="n">
        <v>488</v>
      </c>
      <c r="G87" s="13" t="n">
        <v>492</v>
      </c>
      <c r="H87" s="14" t="n">
        <f aca="false">(F87+G87)/2</f>
        <v>490</v>
      </c>
      <c r="I87" s="15" t="n">
        <v>519029</v>
      </c>
      <c r="J87" s="7" t="s">
        <v>242</v>
      </c>
      <c r="K87" s="7" t="s">
        <v>81</v>
      </c>
      <c r="L87" s="14" t="n">
        <f aca="false">I87/1000</f>
        <v>519.029</v>
      </c>
      <c r="M87" s="14" t="n">
        <f aca="false">L87-H87</f>
        <v>29.029</v>
      </c>
      <c r="N87" s="16" t="n">
        <f aca="false">M87/ABS(H87)</f>
        <v>0.0592428571428571</v>
      </c>
      <c r="O87" s="10" t="str">
        <f aca="false">IF(L87&gt;G87,"Beat top",IF(L87&gt;=F87,"In range","Missed bottom"))</f>
        <v>Beat top</v>
      </c>
    </row>
    <row r="88" customFormat="false" ht="15" hidden="false" customHeight="false" outlineLevel="0" collapsed="false">
      <c r="A88" s="10" t="s">
        <v>238</v>
      </c>
      <c r="B88" s="7" t="s">
        <v>245</v>
      </c>
      <c r="C88" s="7" t="s">
        <v>72</v>
      </c>
      <c r="D88" s="12" t="s">
        <v>69</v>
      </c>
      <c r="E88" s="12" t="s">
        <v>151</v>
      </c>
      <c r="F88" s="13" t="n">
        <v>-112</v>
      </c>
      <c r="G88" s="13" t="n">
        <v>-108</v>
      </c>
      <c r="H88" s="14" t="n">
        <f aca="false">(F88+G88)/2</f>
        <v>-110</v>
      </c>
      <c r="I88" s="15" t="n">
        <v>-47095</v>
      </c>
      <c r="J88" s="7" t="s">
        <v>240</v>
      </c>
      <c r="K88" s="7" t="s">
        <v>81</v>
      </c>
      <c r="L88" s="14" t="n">
        <f aca="false">I88/1000</f>
        <v>-47.095</v>
      </c>
      <c r="M88" s="14" t="n">
        <f aca="false">L88-H88</f>
        <v>62.905</v>
      </c>
      <c r="N88" s="16" t="n">
        <f aca="false">M88/ABS(H88)</f>
        <v>0.571863636363636</v>
      </c>
      <c r="O88" s="10" t="str">
        <f aca="false">IF(L88&gt;G88,"Beat top",IF(L88&gt;=F88,"In range","Missed bottom"))</f>
        <v>Beat top</v>
      </c>
    </row>
    <row r="89" customFormat="false" ht="15" hidden="false" customHeight="false" outlineLevel="0" collapsed="false">
      <c r="A89" s="10" t="s">
        <v>238</v>
      </c>
      <c r="B89" s="7" t="s">
        <v>246</v>
      </c>
      <c r="C89" s="7" t="s">
        <v>72</v>
      </c>
      <c r="D89" s="12" t="s">
        <v>69</v>
      </c>
      <c r="E89" s="12" t="s">
        <v>24</v>
      </c>
      <c r="F89" s="13" t="n">
        <v>498</v>
      </c>
      <c r="G89" s="13" t="n">
        <v>502</v>
      </c>
      <c r="H89" s="14" t="n">
        <f aca="false">(F89+G89)/2</f>
        <v>500</v>
      </c>
      <c r="I89" s="15" t="n">
        <v>519029</v>
      </c>
      <c r="J89" s="7" t="s">
        <v>242</v>
      </c>
      <c r="K89" s="7" t="s">
        <v>81</v>
      </c>
      <c r="L89" s="14" t="n">
        <f aca="false">I89/1000</f>
        <v>519.029</v>
      </c>
      <c r="M89" s="14" t="n">
        <f aca="false">L89-H89</f>
        <v>19.029</v>
      </c>
      <c r="N89" s="16" t="n">
        <f aca="false">M89/ABS(H89)</f>
        <v>0.038058</v>
      </c>
      <c r="O89" s="10" t="str">
        <f aca="false">IF(L89&gt;G89,"Beat top",IF(L89&gt;=F89,"In range","Missed bottom"))</f>
        <v>Beat top</v>
      </c>
    </row>
    <row r="90" customFormat="false" ht="15" hidden="false" customHeight="false" outlineLevel="0" collapsed="false">
      <c r="A90" s="10" t="s">
        <v>238</v>
      </c>
      <c r="B90" s="7" t="s">
        <v>247</v>
      </c>
      <c r="C90" s="7" t="s">
        <v>68</v>
      </c>
      <c r="D90" s="12" t="s">
        <v>74</v>
      </c>
      <c r="E90" s="12" t="s">
        <v>151</v>
      </c>
      <c r="F90" s="13" t="n">
        <v>-83</v>
      </c>
      <c r="G90" s="13" t="n">
        <v>-81</v>
      </c>
      <c r="H90" s="14" t="n">
        <f aca="false">(F90+G90)/2</f>
        <v>-82</v>
      </c>
      <c r="I90" s="15" t="n">
        <v>-47095</v>
      </c>
      <c r="J90" s="7" t="s">
        <v>240</v>
      </c>
      <c r="K90" s="7" t="s">
        <v>81</v>
      </c>
      <c r="L90" s="14" t="n">
        <f aca="false">I90/1000</f>
        <v>-47.095</v>
      </c>
      <c r="M90" s="14" t="n">
        <f aca="false">L90-H90</f>
        <v>34.905</v>
      </c>
      <c r="N90" s="16" t="n">
        <f aca="false">M90/ABS(H90)</f>
        <v>0.425670731707317</v>
      </c>
      <c r="O90" s="10" t="str">
        <f aca="false">IF(L90&gt;G90,"Beat top",IF(L90&gt;=F90,"In range","Missed bottom"))</f>
        <v>Beat top</v>
      </c>
    </row>
    <row r="91" customFormat="false" ht="15" hidden="false" customHeight="false" outlineLevel="0" collapsed="false">
      <c r="A91" s="10" t="s">
        <v>238</v>
      </c>
      <c r="B91" s="7" t="s">
        <v>248</v>
      </c>
      <c r="C91" s="7" t="s">
        <v>68</v>
      </c>
      <c r="D91" s="12" t="s">
        <v>74</v>
      </c>
      <c r="E91" s="12" t="s">
        <v>24</v>
      </c>
      <c r="F91" s="13" t="n">
        <v>509</v>
      </c>
      <c r="G91" s="13" t="n">
        <v>511</v>
      </c>
      <c r="H91" s="14" t="n">
        <f aca="false">(F91+G91)/2</f>
        <v>510</v>
      </c>
      <c r="I91" s="15" t="n">
        <v>519029</v>
      </c>
      <c r="J91" s="7" t="s">
        <v>242</v>
      </c>
      <c r="K91" s="7" t="s">
        <v>81</v>
      </c>
      <c r="L91" s="14" t="n">
        <f aca="false">I91/1000</f>
        <v>519.029</v>
      </c>
      <c r="M91" s="14" t="n">
        <f aca="false">L91-H91</f>
        <v>9.029</v>
      </c>
      <c r="N91" s="16" t="n">
        <f aca="false">M91/ABS(H91)</f>
        <v>0.0177039215686274</v>
      </c>
      <c r="O91" s="10" t="str">
        <f aca="false">IF(L91&gt;G91,"Beat top",IF(L91&gt;=F91,"In range","Missed bottom"))</f>
        <v>Beat top</v>
      </c>
    </row>
    <row r="92" customFormat="false" ht="15" hidden="false" customHeight="false" outlineLevel="0" collapsed="false">
      <c r="A92" s="10" t="s">
        <v>249</v>
      </c>
      <c r="B92" s="7" t="s">
        <v>250</v>
      </c>
      <c r="C92" s="7" t="s">
        <v>81</v>
      </c>
      <c r="D92" s="12" t="s">
        <v>78</v>
      </c>
      <c r="E92" s="12" t="s">
        <v>151</v>
      </c>
      <c r="F92" s="13" t="n">
        <v>-36</v>
      </c>
      <c r="G92" s="13" t="n">
        <v>-32</v>
      </c>
      <c r="H92" s="14" t="n">
        <f aca="false">(F92+G92)/2</f>
        <v>-34</v>
      </c>
      <c r="I92" s="15" t="n">
        <v>61601</v>
      </c>
      <c r="J92" s="7" t="s">
        <v>251</v>
      </c>
      <c r="K92" s="7" t="s">
        <v>101</v>
      </c>
      <c r="L92" s="14" t="n">
        <f aca="false">I92/1000</f>
        <v>61.601</v>
      </c>
      <c r="M92" s="14" t="n">
        <f aca="false">L92-H92</f>
        <v>95.601</v>
      </c>
      <c r="N92" s="16" t="n">
        <f aca="false">M92/ABS(H92)</f>
        <v>2.81179411764706</v>
      </c>
      <c r="O92" s="10" t="str">
        <f aca="false">IF(L92&gt;G92,"Beat top",IF(L92&gt;=F92,"In range","Missed bottom"))</f>
        <v>Beat top</v>
      </c>
    </row>
    <row r="93" customFormat="false" ht="15" hidden="false" customHeight="false" outlineLevel="0" collapsed="false">
      <c r="A93" s="10" t="s">
        <v>249</v>
      </c>
      <c r="B93" s="7" t="s">
        <v>252</v>
      </c>
      <c r="C93" s="7" t="s">
        <v>81</v>
      </c>
      <c r="D93" s="12" t="s">
        <v>78</v>
      </c>
      <c r="E93" s="12" t="s">
        <v>24</v>
      </c>
      <c r="F93" s="13" t="n">
        <v>688</v>
      </c>
      <c r="G93" s="13" t="n">
        <v>693</v>
      </c>
      <c r="H93" s="14" t="n">
        <f aca="false">(F93+G93)/2</f>
        <v>690.5</v>
      </c>
      <c r="I93" s="15" t="n">
        <v>729695</v>
      </c>
      <c r="J93" s="7" t="s">
        <v>253</v>
      </c>
      <c r="K93" s="7" t="s">
        <v>101</v>
      </c>
      <c r="L93" s="14" t="n">
        <f aca="false">I93/1000</f>
        <v>729.695</v>
      </c>
      <c r="M93" s="14" t="n">
        <f aca="false">L93-H93</f>
        <v>39.1950000000001</v>
      </c>
      <c r="N93" s="16" t="n">
        <f aca="false">M93/ABS(H93)</f>
        <v>0.0567632150615497</v>
      </c>
      <c r="O93" s="10" t="str">
        <f aca="false">IF(L93&gt;G93,"Beat top",IF(L93&gt;=F93,"In range","Missed bottom"))</f>
        <v>Beat top</v>
      </c>
    </row>
    <row r="94" customFormat="false" ht="15" hidden="false" customHeight="false" outlineLevel="0" collapsed="false">
      <c r="A94" s="10" t="s">
        <v>249</v>
      </c>
      <c r="B94" s="7" t="s">
        <v>254</v>
      </c>
      <c r="C94" s="7" t="s">
        <v>86</v>
      </c>
      <c r="D94" s="12" t="s">
        <v>83</v>
      </c>
      <c r="E94" s="12" t="s">
        <v>151</v>
      </c>
      <c r="F94" s="13" t="n">
        <v>8</v>
      </c>
      <c r="G94" s="13" t="n">
        <v>12</v>
      </c>
      <c r="H94" s="14" t="n">
        <f aca="false">(F94+G94)/2</f>
        <v>10</v>
      </c>
      <c r="I94" s="15" t="n">
        <v>61601</v>
      </c>
      <c r="J94" s="7" t="s">
        <v>251</v>
      </c>
      <c r="K94" s="7" t="s">
        <v>101</v>
      </c>
      <c r="L94" s="14" t="n">
        <f aca="false">I94/1000</f>
        <v>61.601</v>
      </c>
      <c r="M94" s="14" t="n">
        <f aca="false">L94-H94</f>
        <v>51.601</v>
      </c>
      <c r="N94" s="16" t="n">
        <f aca="false">M94/ABS(H94)</f>
        <v>5.1601</v>
      </c>
      <c r="O94" s="10" t="str">
        <f aca="false">IF(L94&gt;G94,"Beat top",IF(L94&gt;=F94,"In range","Missed bottom"))</f>
        <v>Beat top</v>
      </c>
    </row>
    <row r="95" customFormat="false" ht="15" hidden="false" customHeight="false" outlineLevel="0" collapsed="false">
      <c r="A95" s="10" t="s">
        <v>249</v>
      </c>
      <c r="B95" s="7" t="s">
        <v>255</v>
      </c>
      <c r="C95" s="7" t="s">
        <v>86</v>
      </c>
      <c r="D95" s="12" t="s">
        <v>83</v>
      </c>
      <c r="E95" s="12" t="s">
        <v>24</v>
      </c>
      <c r="F95" s="13" t="n">
        <v>702</v>
      </c>
      <c r="G95" s="13" t="n">
        <v>706</v>
      </c>
      <c r="H95" s="14" t="n">
        <f aca="false">(F95+G95)/2</f>
        <v>704</v>
      </c>
      <c r="I95" s="15" t="n">
        <v>729695</v>
      </c>
      <c r="J95" s="7" t="s">
        <v>253</v>
      </c>
      <c r="K95" s="7" t="s">
        <v>101</v>
      </c>
      <c r="L95" s="14" t="n">
        <f aca="false">I95/1000</f>
        <v>729.695</v>
      </c>
      <c r="M95" s="14" t="n">
        <f aca="false">L95-H95</f>
        <v>25.6950000000001</v>
      </c>
      <c r="N95" s="16" t="n">
        <f aca="false">M95/ABS(H95)</f>
        <v>0.0364985795454546</v>
      </c>
      <c r="O95" s="10" t="str">
        <f aca="false">IF(L95&gt;G95,"Beat top",IF(L95&gt;=F95,"In range","Missed bottom"))</f>
        <v>Beat top</v>
      </c>
    </row>
    <row r="96" customFormat="false" ht="15" hidden="false" customHeight="false" outlineLevel="0" collapsed="false">
      <c r="A96" s="10" t="s">
        <v>249</v>
      </c>
      <c r="B96" s="7" t="s">
        <v>256</v>
      </c>
      <c r="C96" s="7" t="s">
        <v>91</v>
      </c>
      <c r="D96" s="12" t="s">
        <v>88</v>
      </c>
      <c r="E96" s="12" t="s">
        <v>151</v>
      </c>
      <c r="F96" s="13" t="n">
        <v>24</v>
      </c>
      <c r="G96" s="13" t="n">
        <v>28</v>
      </c>
      <c r="H96" s="14" t="n">
        <f aca="false">(F96+G96)/2</f>
        <v>26</v>
      </c>
      <c r="I96" s="15" t="n">
        <v>61601</v>
      </c>
      <c r="J96" s="7" t="s">
        <v>251</v>
      </c>
      <c r="K96" s="7" t="s">
        <v>101</v>
      </c>
      <c r="L96" s="14" t="n">
        <f aca="false">I96/1000</f>
        <v>61.601</v>
      </c>
      <c r="M96" s="14" t="n">
        <f aca="false">L96-H96</f>
        <v>35.601</v>
      </c>
      <c r="N96" s="16" t="n">
        <f aca="false">M96/ABS(H96)</f>
        <v>1.36926923076923</v>
      </c>
      <c r="O96" s="10" t="str">
        <f aca="false">IF(L96&gt;G96,"Beat top",IF(L96&gt;=F96,"In range","Missed bottom"))</f>
        <v>Beat top</v>
      </c>
    </row>
    <row r="97" customFormat="false" ht="15" hidden="false" customHeight="false" outlineLevel="0" collapsed="false">
      <c r="A97" s="10" t="s">
        <v>249</v>
      </c>
      <c r="B97" s="7" t="s">
        <v>257</v>
      </c>
      <c r="C97" s="7" t="s">
        <v>91</v>
      </c>
      <c r="D97" s="12" t="s">
        <v>88</v>
      </c>
      <c r="E97" s="12" t="s">
        <v>24</v>
      </c>
      <c r="F97" s="13" t="n">
        <v>713</v>
      </c>
      <c r="G97" s="13" t="n">
        <v>717</v>
      </c>
      <c r="H97" s="14" t="n">
        <f aca="false">(F97+G97)/2</f>
        <v>715</v>
      </c>
      <c r="I97" s="15" t="n">
        <v>729695</v>
      </c>
      <c r="J97" s="7" t="s">
        <v>253</v>
      </c>
      <c r="K97" s="7" t="s">
        <v>101</v>
      </c>
      <c r="L97" s="14" t="n">
        <f aca="false">I97/1000</f>
        <v>729.695</v>
      </c>
      <c r="M97" s="14" t="n">
        <f aca="false">L97-H97</f>
        <v>14.6950000000001</v>
      </c>
      <c r="N97" s="16" t="n">
        <f aca="false">M97/ABS(H97)</f>
        <v>0.0205524475524476</v>
      </c>
      <c r="O97" s="10" t="str">
        <f aca="false">IF(L97&gt;G97,"Beat top",IF(L97&gt;=F97,"In range","Missed bottom"))</f>
        <v>Beat top</v>
      </c>
    </row>
    <row r="98" customFormat="false" ht="15" hidden="false" customHeight="false" outlineLevel="0" collapsed="false">
      <c r="A98" s="10" t="s">
        <v>249</v>
      </c>
      <c r="B98" s="7" t="s">
        <v>258</v>
      </c>
      <c r="C98" s="7" t="s">
        <v>96</v>
      </c>
      <c r="D98" s="12" t="s">
        <v>93</v>
      </c>
      <c r="E98" s="12" t="s">
        <v>151</v>
      </c>
      <c r="F98" s="13" t="n">
        <v>47</v>
      </c>
      <c r="G98" s="13" t="n">
        <v>49</v>
      </c>
      <c r="H98" s="14" t="n">
        <f aca="false">(F98+G98)/2</f>
        <v>48</v>
      </c>
      <c r="I98" s="15" t="n">
        <v>61601</v>
      </c>
      <c r="J98" s="7" t="s">
        <v>251</v>
      </c>
      <c r="K98" s="7" t="s">
        <v>101</v>
      </c>
      <c r="L98" s="14" t="n">
        <f aca="false">I98/1000</f>
        <v>61.601</v>
      </c>
      <c r="M98" s="14" t="n">
        <f aca="false">L98-H98</f>
        <v>13.601</v>
      </c>
      <c r="N98" s="16" t="n">
        <f aca="false">M98/ABS(H98)</f>
        <v>0.283354166666667</v>
      </c>
      <c r="O98" s="10" t="str">
        <f aca="false">IF(L98&gt;G98,"Beat top",IF(L98&gt;=F98,"In range","Missed bottom"))</f>
        <v>Beat top</v>
      </c>
    </row>
    <row r="99" customFormat="false" ht="15" hidden="false" customHeight="false" outlineLevel="0" collapsed="false">
      <c r="A99" s="10" t="s">
        <v>249</v>
      </c>
      <c r="B99" s="7" t="s">
        <v>259</v>
      </c>
      <c r="C99" s="7" t="s">
        <v>96</v>
      </c>
      <c r="D99" s="12" t="s">
        <v>93</v>
      </c>
      <c r="E99" s="12" t="s">
        <v>24</v>
      </c>
      <c r="F99" s="13" t="n">
        <v>723</v>
      </c>
      <c r="G99" s="13" t="n">
        <v>725</v>
      </c>
      <c r="H99" s="14" t="n">
        <f aca="false">(F99+G99)/2</f>
        <v>724</v>
      </c>
      <c r="I99" s="15" t="n">
        <v>729695</v>
      </c>
      <c r="J99" s="7" t="s">
        <v>253</v>
      </c>
      <c r="K99" s="7" t="s">
        <v>101</v>
      </c>
      <c r="L99" s="14" t="n">
        <f aca="false">I99/1000</f>
        <v>729.695</v>
      </c>
      <c r="M99" s="14" t="n">
        <f aca="false">L99-H99</f>
        <v>5.69500000000005</v>
      </c>
      <c r="N99" s="16" t="n">
        <f aca="false">M99/ABS(H99)</f>
        <v>0.00786602209944758</v>
      </c>
      <c r="O99" s="10" t="str">
        <f aca="false">IF(L99&gt;G99,"Beat top",IF(L99&gt;=F99,"In range","Missed bottom"))</f>
        <v>Beat top</v>
      </c>
    </row>
    <row r="100" customFormat="false" ht="15" hidden="false" customHeight="false" outlineLevel="0" collapsed="false">
      <c r="A100" s="10" t="s">
        <v>260</v>
      </c>
      <c r="B100" s="7" t="s">
        <v>261</v>
      </c>
      <c r="C100" s="7" t="s">
        <v>101</v>
      </c>
      <c r="D100" s="12" t="s">
        <v>98</v>
      </c>
      <c r="E100" s="12" t="s">
        <v>196</v>
      </c>
      <c r="F100" s="13" t="n">
        <v>200</v>
      </c>
      <c r="G100" s="13" t="n">
        <v>206</v>
      </c>
      <c r="H100" s="14" t="n">
        <f aca="false">(F100+G100)/2</f>
        <v>203</v>
      </c>
      <c r="I100" s="15" t="n">
        <v>295830</v>
      </c>
      <c r="J100" s="7" t="s">
        <v>262</v>
      </c>
      <c r="K100" s="7" t="s">
        <v>120</v>
      </c>
      <c r="L100" s="14" t="n">
        <f aca="false">I100/1000</f>
        <v>295.83</v>
      </c>
      <c r="M100" s="14" t="n">
        <f aca="false">L100-H100</f>
        <v>92.83</v>
      </c>
      <c r="N100" s="16" t="n">
        <f aca="false">M100/ABS(H100)</f>
        <v>0.457290640394089</v>
      </c>
      <c r="O100" s="10" t="str">
        <f aca="false">IF(L100&gt;G100,"Beat top",IF(L100&gt;=F100,"In range","Missed bottom"))</f>
        <v>Beat top</v>
      </c>
    </row>
    <row r="101" customFormat="false" ht="15" hidden="false" customHeight="false" outlineLevel="0" collapsed="false">
      <c r="A101" s="10" t="s">
        <v>260</v>
      </c>
      <c r="B101" s="7" t="s">
        <v>263</v>
      </c>
      <c r="C101" s="7" t="s">
        <v>101</v>
      </c>
      <c r="D101" s="12" t="s">
        <v>98</v>
      </c>
      <c r="E101" s="12" t="s">
        <v>151</v>
      </c>
      <c r="F101" s="13" t="n">
        <v>58</v>
      </c>
      <c r="G101" s="13" t="n">
        <v>64</v>
      </c>
      <c r="H101" s="14" t="n">
        <f aca="false">(F101+G101)/2</f>
        <v>61</v>
      </c>
      <c r="I101" s="15" t="n">
        <v>132383</v>
      </c>
      <c r="J101" s="7" t="s">
        <v>264</v>
      </c>
      <c r="K101" s="7" t="s">
        <v>120</v>
      </c>
      <c r="L101" s="14" t="n">
        <f aca="false">I101/1000</f>
        <v>132.383</v>
      </c>
      <c r="M101" s="14" t="n">
        <f aca="false">L101-H101</f>
        <v>71.383</v>
      </c>
      <c r="N101" s="16" t="n">
        <f aca="false">M101/ABS(H101)</f>
        <v>1.1702131147541</v>
      </c>
      <c r="O101" s="10" t="str">
        <f aca="false">IF(L101&gt;G101,"Beat top",IF(L101&gt;=F101,"In range","Missed bottom"))</f>
        <v>Beat top</v>
      </c>
    </row>
    <row r="102" customFormat="false" ht="15" hidden="false" customHeight="false" outlineLevel="0" collapsed="false">
      <c r="A102" s="10" t="s">
        <v>260</v>
      </c>
      <c r="B102" s="7" t="s">
        <v>265</v>
      </c>
      <c r="C102" s="7" t="s">
        <v>101</v>
      </c>
      <c r="D102" s="12" t="s">
        <v>98</v>
      </c>
      <c r="E102" s="12" t="s">
        <v>24</v>
      </c>
      <c r="F102" s="13" t="n">
        <v>926</v>
      </c>
      <c r="G102" s="13" t="n">
        <v>932</v>
      </c>
      <c r="H102" s="14" t="n">
        <f aca="false">(F102+G102)/2</f>
        <v>929</v>
      </c>
      <c r="I102" s="15" t="n">
        <v>971995</v>
      </c>
      <c r="J102" s="7" t="s">
        <v>266</v>
      </c>
      <c r="K102" s="7" t="s">
        <v>120</v>
      </c>
      <c r="L102" s="14" t="n">
        <f aca="false">I102/1000</f>
        <v>971.995</v>
      </c>
      <c r="M102" s="14" t="n">
        <f aca="false">L102-H102</f>
        <v>42.995</v>
      </c>
      <c r="N102" s="16" t="n">
        <f aca="false">M102/ABS(H102)</f>
        <v>0.046280947255113</v>
      </c>
      <c r="O102" s="10" t="str">
        <f aca="false">IF(L102&gt;G102,"Beat top",IF(L102&gt;=F102,"In range","Missed bottom"))</f>
        <v>Beat top</v>
      </c>
    </row>
    <row r="103" customFormat="false" ht="15" hidden="false" customHeight="false" outlineLevel="0" collapsed="false">
      <c r="A103" s="10" t="s">
        <v>260</v>
      </c>
      <c r="B103" s="7" t="s">
        <v>267</v>
      </c>
      <c r="C103" s="7" t="s">
        <v>106</v>
      </c>
      <c r="D103" s="12" t="s">
        <v>103</v>
      </c>
      <c r="E103" s="12" t="s">
        <v>196</v>
      </c>
      <c r="F103" s="13" t="n">
        <v>238</v>
      </c>
      <c r="G103" s="13" t="n">
        <v>244</v>
      </c>
      <c r="H103" s="14" t="n">
        <f aca="false">(F103+G103)/2</f>
        <v>241</v>
      </c>
      <c r="I103" s="15" t="n">
        <v>295830</v>
      </c>
      <c r="J103" s="7" t="s">
        <v>262</v>
      </c>
      <c r="K103" s="7" t="s">
        <v>120</v>
      </c>
      <c r="L103" s="14" t="n">
        <f aca="false">I103/1000</f>
        <v>295.83</v>
      </c>
      <c r="M103" s="14" t="n">
        <f aca="false">L103-H103</f>
        <v>54.83</v>
      </c>
      <c r="N103" s="16" t="n">
        <f aca="false">M103/ABS(H103)</f>
        <v>0.227510373443983</v>
      </c>
      <c r="O103" s="10" t="str">
        <f aca="false">IF(L103&gt;G103,"Beat top",IF(L103&gt;=F103,"In range","Missed bottom"))</f>
        <v>Beat top</v>
      </c>
    </row>
    <row r="104" customFormat="false" ht="15" hidden="false" customHeight="false" outlineLevel="0" collapsed="false">
      <c r="A104" s="10" t="s">
        <v>260</v>
      </c>
      <c r="B104" s="7" t="s">
        <v>268</v>
      </c>
      <c r="C104" s="7" t="s">
        <v>106</v>
      </c>
      <c r="D104" s="12" t="s">
        <v>103</v>
      </c>
      <c r="E104" s="12" t="s">
        <v>151</v>
      </c>
      <c r="F104" s="13" t="n">
        <v>77</v>
      </c>
      <c r="G104" s="13" t="n">
        <v>83</v>
      </c>
      <c r="H104" s="14" t="n">
        <f aca="false">(F104+G104)/2</f>
        <v>80</v>
      </c>
      <c r="I104" s="15" t="n">
        <v>132383</v>
      </c>
      <c r="J104" s="7" t="s">
        <v>264</v>
      </c>
      <c r="K104" s="7" t="s">
        <v>120</v>
      </c>
      <c r="L104" s="14" t="n">
        <f aca="false">I104/1000</f>
        <v>132.383</v>
      </c>
      <c r="M104" s="14" t="n">
        <f aca="false">L104-H104</f>
        <v>52.383</v>
      </c>
      <c r="N104" s="16" t="n">
        <f aca="false">M104/ABS(H104)</f>
        <v>0.6547875</v>
      </c>
      <c r="O104" s="10" t="str">
        <f aca="false">IF(L104&gt;G104,"Beat top",IF(L104&gt;=F104,"In range","Missed bottom"))</f>
        <v>Beat top</v>
      </c>
    </row>
    <row r="105" customFormat="false" ht="15" hidden="false" customHeight="false" outlineLevel="0" collapsed="false">
      <c r="A105" s="10" t="s">
        <v>260</v>
      </c>
      <c r="B105" s="7" t="s">
        <v>269</v>
      </c>
      <c r="C105" s="7" t="s">
        <v>106</v>
      </c>
      <c r="D105" s="12" t="s">
        <v>103</v>
      </c>
      <c r="E105" s="12" t="s">
        <v>24</v>
      </c>
      <c r="F105" s="13" t="n">
        <v>942</v>
      </c>
      <c r="G105" s="13" t="n">
        <v>948</v>
      </c>
      <c r="H105" s="14" t="n">
        <f aca="false">(F105+G105)/2</f>
        <v>945</v>
      </c>
      <c r="I105" s="15" t="n">
        <v>971995</v>
      </c>
      <c r="J105" s="7" t="s">
        <v>266</v>
      </c>
      <c r="K105" s="7" t="s">
        <v>120</v>
      </c>
      <c r="L105" s="14" t="n">
        <f aca="false">I105/1000</f>
        <v>971.995</v>
      </c>
      <c r="M105" s="14" t="n">
        <f aca="false">L105-H105</f>
        <v>26.995</v>
      </c>
      <c r="N105" s="16" t="n">
        <f aca="false">M105/ABS(H105)</f>
        <v>0.0285661375661376</v>
      </c>
      <c r="O105" s="10" t="str">
        <f aca="false">IF(L105&gt;G105,"Beat top",IF(L105&gt;=F105,"In range","Missed bottom"))</f>
        <v>Beat top</v>
      </c>
    </row>
    <row r="106" customFormat="false" ht="15" hidden="false" customHeight="false" outlineLevel="0" collapsed="false">
      <c r="A106" s="10" t="s">
        <v>260</v>
      </c>
      <c r="B106" s="7" t="s">
        <v>270</v>
      </c>
      <c r="C106" s="7" t="s">
        <v>111</v>
      </c>
      <c r="D106" s="12" t="s">
        <v>108</v>
      </c>
      <c r="E106" s="12" t="s">
        <v>196</v>
      </c>
      <c r="F106" s="13" t="n">
        <v>270</v>
      </c>
      <c r="G106" s="13" t="n">
        <v>275</v>
      </c>
      <c r="H106" s="14" t="n">
        <f aca="false">(F106+G106)/2</f>
        <v>272.5</v>
      </c>
      <c r="I106" s="15" t="n">
        <v>295830</v>
      </c>
      <c r="J106" s="7" t="s">
        <v>262</v>
      </c>
      <c r="K106" s="7" t="s">
        <v>120</v>
      </c>
      <c r="L106" s="14" t="n">
        <f aca="false">I106/1000</f>
        <v>295.83</v>
      </c>
      <c r="M106" s="14" t="n">
        <f aca="false">L106-H106</f>
        <v>23.33</v>
      </c>
      <c r="N106" s="16" t="n">
        <f aca="false">M106/ABS(H106)</f>
        <v>0.0856146788990825</v>
      </c>
      <c r="O106" s="10" t="str">
        <f aca="false">IF(L106&gt;G106,"Beat top",IF(L106&gt;=F106,"In range","Missed bottom"))</f>
        <v>Beat top</v>
      </c>
    </row>
    <row r="107" customFormat="false" ht="15" hidden="false" customHeight="false" outlineLevel="0" collapsed="false">
      <c r="A107" s="10" t="s">
        <v>260</v>
      </c>
      <c r="B107" s="7" t="s">
        <v>271</v>
      </c>
      <c r="C107" s="7" t="s">
        <v>111</v>
      </c>
      <c r="D107" s="12" t="s">
        <v>108</v>
      </c>
      <c r="E107" s="12" t="s">
        <v>151</v>
      </c>
      <c r="F107" s="13" t="n">
        <v>100</v>
      </c>
      <c r="G107" s="13" t="n">
        <v>105</v>
      </c>
      <c r="H107" s="14" t="n">
        <f aca="false">(F107+G107)/2</f>
        <v>102.5</v>
      </c>
      <c r="I107" s="15" t="n">
        <v>132383</v>
      </c>
      <c r="J107" s="7" t="s">
        <v>264</v>
      </c>
      <c r="K107" s="7" t="s">
        <v>120</v>
      </c>
      <c r="L107" s="14" t="n">
        <f aca="false">I107/1000</f>
        <v>132.383</v>
      </c>
      <c r="M107" s="14" t="n">
        <f aca="false">L107-H107</f>
        <v>29.883</v>
      </c>
      <c r="N107" s="16" t="n">
        <f aca="false">M107/ABS(H107)</f>
        <v>0.291541463414634</v>
      </c>
      <c r="O107" s="10" t="str">
        <f aca="false">IF(L107&gt;G107,"Beat top",IF(L107&gt;=F107,"In range","Missed bottom"))</f>
        <v>Beat top</v>
      </c>
    </row>
    <row r="108" customFormat="false" ht="15" hidden="false" customHeight="false" outlineLevel="0" collapsed="false">
      <c r="A108" s="10" t="s">
        <v>260</v>
      </c>
      <c r="B108" s="7" t="s">
        <v>272</v>
      </c>
      <c r="C108" s="7" t="s">
        <v>111</v>
      </c>
      <c r="D108" s="12" t="s">
        <v>108</v>
      </c>
      <c r="E108" s="12" t="s">
        <v>24</v>
      </c>
      <c r="F108" s="13" t="n">
        <v>956</v>
      </c>
      <c r="G108" s="13" t="n">
        <v>961</v>
      </c>
      <c r="H108" s="14" t="n">
        <f aca="false">(F108+G108)/2</f>
        <v>958.5</v>
      </c>
      <c r="I108" s="15" t="n">
        <v>971995</v>
      </c>
      <c r="J108" s="7" t="s">
        <v>266</v>
      </c>
      <c r="K108" s="7" t="s">
        <v>120</v>
      </c>
      <c r="L108" s="14" t="n">
        <f aca="false">I108/1000</f>
        <v>971.995</v>
      </c>
      <c r="M108" s="14" t="n">
        <f aca="false">L108-H108</f>
        <v>13.495</v>
      </c>
      <c r="N108" s="16" t="n">
        <f aca="false">M108/ABS(H108)</f>
        <v>0.0140792905581638</v>
      </c>
      <c r="O108" s="10" t="str">
        <f aca="false">IF(L108&gt;G108,"Beat top",IF(L108&gt;=F108,"In range","Missed bottom"))</f>
        <v>Beat top</v>
      </c>
    </row>
    <row r="109" customFormat="false" ht="15" hidden="false" customHeight="false" outlineLevel="0" collapsed="false">
      <c r="A109" s="10" t="s">
        <v>260</v>
      </c>
      <c r="B109" s="7" t="s">
        <v>273</v>
      </c>
      <c r="C109" s="7" t="s">
        <v>116</v>
      </c>
      <c r="D109" s="12" t="s">
        <v>113</v>
      </c>
      <c r="E109" s="12" t="s">
        <v>196</v>
      </c>
      <c r="F109" s="13" t="n">
        <v>286</v>
      </c>
      <c r="G109" s="13" t="n">
        <v>289</v>
      </c>
      <c r="H109" s="14" t="n">
        <f aca="false">(F109+G109)/2</f>
        <v>287.5</v>
      </c>
      <c r="I109" s="15" t="n">
        <v>295830</v>
      </c>
      <c r="J109" s="7" t="s">
        <v>262</v>
      </c>
      <c r="K109" s="7" t="s">
        <v>120</v>
      </c>
      <c r="L109" s="14" t="n">
        <f aca="false">I109/1000</f>
        <v>295.83</v>
      </c>
      <c r="M109" s="14" t="n">
        <f aca="false">L109-H109</f>
        <v>8.32999999999998</v>
      </c>
      <c r="N109" s="16" t="n">
        <f aca="false">M109/ABS(H109)</f>
        <v>0.0289739130434782</v>
      </c>
      <c r="O109" s="10" t="str">
        <f aca="false">IF(L109&gt;G109,"Beat top",IF(L109&gt;=F109,"In range","Missed bottom"))</f>
        <v>Beat top</v>
      </c>
    </row>
    <row r="110" customFormat="false" ht="15" hidden="false" customHeight="false" outlineLevel="0" collapsed="false">
      <c r="A110" s="10" t="s">
        <v>260</v>
      </c>
      <c r="B110" s="7" t="s">
        <v>274</v>
      </c>
      <c r="C110" s="7" t="s">
        <v>116</v>
      </c>
      <c r="D110" s="12" t="s">
        <v>113</v>
      </c>
      <c r="E110" s="12" t="s">
        <v>151</v>
      </c>
      <c r="F110" s="13" t="n">
        <v>121</v>
      </c>
      <c r="G110" s="13" t="n">
        <v>123</v>
      </c>
      <c r="H110" s="14" t="n">
        <f aca="false">(F110+G110)/2</f>
        <v>122</v>
      </c>
      <c r="I110" s="15" t="n">
        <v>132383</v>
      </c>
      <c r="J110" s="7" t="s">
        <v>264</v>
      </c>
      <c r="K110" s="7" t="s">
        <v>120</v>
      </c>
      <c r="L110" s="14" t="n">
        <f aca="false">I110/1000</f>
        <v>132.383</v>
      </c>
      <c r="M110" s="14" t="n">
        <f aca="false">L110-H110</f>
        <v>10.383</v>
      </c>
      <c r="N110" s="16" t="n">
        <f aca="false">M110/ABS(H110)</f>
        <v>0.0851065573770493</v>
      </c>
      <c r="O110" s="10" t="str">
        <f aca="false">IF(L110&gt;G110,"Beat top",IF(L110&gt;=F110,"In range","Missed bottom"))</f>
        <v>Beat top</v>
      </c>
    </row>
    <row r="111" customFormat="false" ht="15" hidden="false" customHeight="false" outlineLevel="0" collapsed="false">
      <c r="A111" s="10" t="s">
        <v>260</v>
      </c>
      <c r="B111" s="7" t="s">
        <v>275</v>
      </c>
      <c r="C111" s="7" t="s">
        <v>116</v>
      </c>
      <c r="D111" s="12" t="s">
        <v>113</v>
      </c>
      <c r="E111" s="12" t="s">
        <v>24</v>
      </c>
      <c r="F111" s="13" t="n">
        <v>964</v>
      </c>
      <c r="G111" s="13" t="n">
        <v>966</v>
      </c>
      <c r="H111" s="14" t="n">
        <f aca="false">(F111+G111)/2</f>
        <v>965</v>
      </c>
      <c r="I111" s="15" t="n">
        <v>971995</v>
      </c>
      <c r="J111" s="7" t="s">
        <v>266</v>
      </c>
      <c r="K111" s="7" t="s">
        <v>120</v>
      </c>
      <c r="L111" s="14" t="n">
        <f aca="false">I111/1000</f>
        <v>971.995</v>
      </c>
      <c r="M111" s="14" t="n">
        <f aca="false">L111-H111</f>
        <v>6.995</v>
      </c>
      <c r="N111" s="16" t="n">
        <f aca="false">M111/ABS(H111)</f>
        <v>0.00724870466321244</v>
      </c>
      <c r="O111" s="10" t="str">
        <f aca="false">IF(L111&gt;G111,"Beat top",IF(L111&gt;=F111,"In range","Missed bottom"))</f>
        <v>Beat top</v>
      </c>
    </row>
    <row r="112" customFormat="false" ht="15" hidden="false" customHeight="false" outlineLevel="0" collapsed="false">
      <c r="A112" s="10" t="s">
        <v>276</v>
      </c>
      <c r="B112" s="7" t="s">
        <v>277</v>
      </c>
      <c r="C112" s="7" t="s">
        <v>120</v>
      </c>
      <c r="D112" s="12" t="s">
        <v>117</v>
      </c>
      <c r="E112" s="12" t="s">
        <v>196</v>
      </c>
      <c r="F112" s="13" t="n">
        <v>300</v>
      </c>
      <c r="G112" s="13" t="n">
        <v>308</v>
      </c>
      <c r="H112" s="14" t="n">
        <f aca="false">(F112+G112)/2</f>
        <v>304</v>
      </c>
      <c r="I112" s="15" t="n">
        <v>322660</v>
      </c>
      <c r="J112" s="7" t="s">
        <v>278</v>
      </c>
      <c r="K112" s="7" t="s">
        <v>136</v>
      </c>
      <c r="L112" s="14" t="n">
        <f aca="false">I112/1000</f>
        <v>322.66</v>
      </c>
      <c r="M112" s="14" t="n">
        <f aca="false">L112-H112</f>
        <v>18.66</v>
      </c>
      <c r="N112" s="16" t="n">
        <f aca="false">M112/ABS(H112)</f>
        <v>0.0613815789473685</v>
      </c>
      <c r="O112" s="10" t="str">
        <f aca="false">IF(L112&gt;G112,"Beat top",IF(L112&gt;=F112,"In range","Missed bottom"))</f>
        <v>Beat top</v>
      </c>
    </row>
    <row r="113" customFormat="false" ht="15" hidden="false" customHeight="false" outlineLevel="0" collapsed="false">
      <c r="A113" s="10" t="s">
        <v>276</v>
      </c>
      <c r="B113" s="7" t="s">
        <v>279</v>
      </c>
      <c r="C113" s="7" t="s">
        <v>120</v>
      </c>
      <c r="D113" s="12" t="s">
        <v>117</v>
      </c>
      <c r="E113" s="12" t="s">
        <v>151</v>
      </c>
      <c r="F113" s="13" t="n">
        <v>134</v>
      </c>
      <c r="G113" s="13" t="n">
        <v>142</v>
      </c>
      <c r="H113" s="14" t="n">
        <f aca="false">(F113+G113)/2</f>
        <v>138</v>
      </c>
      <c r="I113" s="15" t="n">
        <v>175263</v>
      </c>
      <c r="J113" s="7" t="s">
        <v>280</v>
      </c>
      <c r="K113" s="7" t="s">
        <v>136</v>
      </c>
      <c r="L113" s="14" t="n">
        <f aca="false">I113/1000</f>
        <v>175.263</v>
      </c>
      <c r="M113" s="14" t="n">
        <f aca="false">L113-H113</f>
        <v>37.263</v>
      </c>
      <c r="N113" s="16" t="n">
        <f aca="false">M113/ABS(H113)</f>
        <v>0.270021739130435</v>
      </c>
      <c r="O113" s="10" t="str">
        <f aca="false">IF(L113&gt;G113,"Beat top",IF(L113&gt;=F113,"In range","Missed bottom"))</f>
        <v>Beat top</v>
      </c>
    </row>
    <row r="114" customFormat="false" ht="15" hidden="false" customHeight="false" outlineLevel="0" collapsed="false">
      <c r="A114" s="10" t="s">
        <v>276</v>
      </c>
      <c r="B114" s="7" t="s">
        <v>281</v>
      </c>
      <c r="C114" s="7" t="s">
        <v>120</v>
      </c>
      <c r="D114" s="12" t="s">
        <v>117</v>
      </c>
      <c r="E114" s="12" t="s">
        <v>24</v>
      </c>
      <c r="F114" s="13" t="n">
        <v>1208</v>
      </c>
      <c r="G114" s="13" t="n">
        <v>1221</v>
      </c>
      <c r="H114" s="14" t="n">
        <f aca="false">(F114+G114)/2</f>
        <v>1214.5</v>
      </c>
      <c r="I114" s="15" t="n">
        <v>1231997</v>
      </c>
      <c r="J114" s="7" t="s">
        <v>282</v>
      </c>
      <c r="K114" s="7" t="s">
        <v>136</v>
      </c>
      <c r="L114" s="14" t="n">
        <f aca="false">I114/1000</f>
        <v>1231.997</v>
      </c>
      <c r="M114" s="14" t="n">
        <f aca="false">L114-H114</f>
        <v>17.4970000000001</v>
      </c>
      <c r="N114" s="16" t="n">
        <f aca="false">M114/ABS(H114)</f>
        <v>0.0144067517496913</v>
      </c>
      <c r="O114" s="10" t="str">
        <f aca="false">IF(L114&gt;G114,"Beat top",IF(L114&gt;=F114,"In range","Missed bottom"))</f>
        <v>Beat top</v>
      </c>
    </row>
    <row r="115" customFormat="false" ht="15" hidden="false" customHeight="false" outlineLevel="0" collapsed="false">
      <c r="A115" s="10" t="s">
        <v>276</v>
      </c>
      <c r="B115" s="7" t="s">
        <v>283</v>
      </c>
      <c r="C115" s="7" t="s">
        <v>124</v>
      </c>
      <c r="D115" s="12" t="s">
        <v>121</v>
      </c>
      <c r="E115" s="12" t="s">
        <v>284</v>
      </c>
      <c r="F115" s="13" t="n">
        <v>310</v>
      </c>
      <c r="G115" s="13" t="n">
        <v>316</v>
      </c>
      <c r="H115" s="14" t="n">
        <f aca="false">(F115+G115)/2</f>
        <v>313</v>
      </c>
      <c r="I115" s="15" t="n">
        <v>322660</v>
      </c>
      <c r="J115" s="7" t="s">
        <v>278</v>
      </c>
      <c r="K115" s="7" t="s">
        <v>136</v>
      </c>
      <c r="L115" s="14" t="n">
        <f aca="false">I115/1000</f>
        <v>322.66</v>
      </c>
      <c r="M115" s="14" t="n">
        <f aca="false">L115-H115</f>
        <v>9.66000000000003</v>
      </c>
      <c r="N115" s="16" t="n">
        <f aca="false">M115/ABS(H115)</f>
        <v>0.0308626198083068</v>
      </c>
      <c r="O115" s="10" t="str">
        <f aca="false">IF(L115&gt;G115,"Beat top",IF(L115&gt;=F115,"In range","Missed bottom"))</f>
        <v>Beat top</v>
      </c>
    </row>
    <row r="116" customFormat="false" ht="15" hidden="false" customHeight="false" outlineLevel="0" collapsed="false">
      <c r="A116" s="10" t="s">
        <v>276</v>
      </c>
      <c r="B116" s="7" t="s">
        <v>285</v>
      </c>
      <c r="C116" s="7" t="s">
        <v>124</v>
      </c>
      <c r="D116" s="12" t="s">
        <v>121</v>
      </c>
      <c r="E116" s="12" t="s">
        <v>151</v>
      </c>
      <c r="F116" s="13" t="n">
        <v>144</v>
      </c>
      <c r="G116" s="13" t="n">
        <v>150</v>
      </c>
      <c r="H116" s="14" t="n">
        <f aca="false">(F116+G116)/2</f>
        <v>147</v>
      </c>
      <c r="I116" s="15" t="n">
        <v>175263</v>
      </c>
      <c r="J116" s="7" t="s">
        <v>280</v>
      </c>
      <c r="K116" s="7" t="s">
        <v>136</v>
      </c>
      <c r="L116" s="14" t="n">
        <f aca="false">I116/1000</f>
        <v>175.263</v>
      </c>
      <c r="M116" s="14" t="n">
        <f aca="false">L116-H116</f>
        <v>28.263</v>
      </c>
      <c r="N116" s="16" t="n">
        <f aca="false">M116/ABS(H116)</f>
        <v>0.192265306122449</v>
      </c>
      <c r="O116" s="10" t="str">
        <f aca="false">IF(L116&gt;G116,"Beat top",IF(L116&gt;=F116,"In range","Missed bottom"))</f>
        <v>Beat top</v>
      </c>
    </row>
    <row r="117" customFormat="false" ht="15" hidden="false" customHeight="false" outlineLevel="0" collapsed="false">
      <c r="A117" s="10" t="s">
        <v>276</v>
      </c>
      <c r="B117" s="7" t="s">
        <v>286</v>
      </c>
      <c r="C117" s="7" t="s">
        <v>124</v>
      </c>
      <c r="D117" s="12" t="s">
        <v>121</v>
      </c>
      <c r="E117" s="12" t="s">
        <v>24</v>
      </c>
      <c r="F117" s="13" t="n">
        <v>1220</v>
      </c>
      <c r="G117" s="13" t="n">
        <v>1226</v>
      </c>
      <c r="H117" s="14" t="n">
        <f aca="false">(F117+G117)/2</f>
        <v>1223</v>
      </c>
      <c r="I117" s="15" t="n">
        <v>1231997</v>
      </c>
      <c r="J117" s="7" t="s">
        <v>282</v>
      </c>
      <c r="K117" s="7" t="s">
        <v>136</v>
      </c>
      <c r="L117" s="14" t="n">
        <f aca="false">I117/1000</f>
        <v>1231.997</v>
      </c>
      <c r="M117" s="14" t="n">
        <f aca="false">L117-H117</f>
        <v>8.99700000000007</v>
      </c>
      <c r="N117" s="16" t="n">
        <f aca="false">M117/ABS(H117)</f>
        <v>0.0073565004088308</v>
      </c>
      <c r="O117" s="10" t="str">
        <f aca="false">IF(L117&gt;G117,"Beat top",IF(L117&gt;=F117,"In range","Missed bottom"))</f>
        <v>Beat top</v>
      </c>
    </row>
    <row r="118" customFormat="false" ht="15" hidden="false" customHeight="false" outlineLevel="0" collapsed="false">
      <c r="A118" s="10" t="s">
        <v>276</v>
      </c>
      <c r="B118" s="7" t="s">
        <v>287</v>
      </c>
      <c r="C118" s="7" t="s">
        <v>128</v>
      </c>
      <c r="D118" s="12" t="s">
        <v>125</v>
      </c>
      <c r="E118" s="12" t="s">
        <v>284</v>
      </c>
      <c r="F118" s="13" t="n">
        <v>320</v>
      </c>
      <c r="G118" s="13" t="n">
        <v>326</v>
      </c>
      <c r="H118" s="14" t="n">
        <f aca="false">(F118+G118)/2</f>
        <v>323</v>
      </c>
      <c r="I118" s="15" t="n">
        <v>322660</v>
      </c>
      <c r="J118" s="7" t="s">
        <v>278</v>
      </c>
      <c r="K118" s="7" t="s">
        <v>136</v>
      </c>
      <c r="L118" s="14" t="n">
        <f aca="false">I118/1000</f>
        <v>322.66</v>
      </c>
      <c r="M118" s="14" t="n">
        <f aca="false">L118-H118</f>
        <v>-0.339999999999975</v>
      </c>
      <c r="N118" s="16" t="n">
        <f aca="false">M118/ABS(H118)</f>
        <v>-0.00105263157894729</v>
      </c>
      <c r="O118" s="10" t="str">
        <f aca="false">IF(L118&gt;G118,"Beat top",IF(L118&gt;=F118,"In range","Missed bottom"))</f>
        <v>In range</v>
      </c>
    </row>
    <row r="119" customFormat="false" ht="15" hidden="false" customHeight="false" outlineLevel="0" collapsed="false">
      <c r="A119" s="10" t="s">
        <v>276</v>
      </c>
      <c r="B119" s="7" t="s">
        <v>288</v>
      </c>
      <c r="C119" s="7" t="s">
        <v>128</v>
      </c>
      <c r="D119" s="12" t="s">
        <v>125</v>
      </c>
      <c r="E119" s="12" t="s">
        <v>151</v>
      </c>
      <c r="F119" s="13" t="n">
        <v>154</v>
      </c>
      <c r="G119" s="13" t="n">
        <v>158</v>
      </c>
      <c r="H119" s="14" t="n">
        <f aca="false">(F119+G119)/2</f>
        <v>156</v>
      </c>
      <c r="I119" s="15" t="n">
        <v>175263</v>
      </c>
      <c r="J119" s="7" t="s">
        <v>280</v>
      </c>
      <c r="K119" s="7" t="s">
        <v>136</v>
      </c>
      <c r="L119" s="14" t="n">
        <f aca="false">I119/1000</f>
        <v>175.263</v>
      </c>
      <c r="M119" s="14" t="n">
        <f aca="false">L119-H119</f>
        <v>19.263</v>
      </c>
      <c r="N119" s="16" t="n">
        <f aca="false">M119/ABS(H119)</f>
        <v>0.123480769230769</v>
      </c>
      <c r="O119" s="10" t="str">
        <f aca="false">IF(L119&gt;G119,"Beat top",IF(L119&gt;=F119,"In range","Missed bottom"))</f>
        <v>Beat top</v>
      </c>
    </row>
    <row r="120" customFormat="false" ht="15" hidden="false" customHeight="false" outlineLevel="0" collapsed="false">
      <c r="A120" s="10" t="s">
        <v>276</v>
      </c>
      <c r="B120" s="7" t="s">
        <v>289</v>
      </c>
      <c r="C120" s="7" t="s">
        <v>128</v>
      </c>
      <c r="D120" s="12" t="s">
        <v>125</v>
      </c>
      <c r="E120" s="12" t="s">
        <v>24</v>
      </c>
      <c r="F120" s="13" t="n">
        <v>1224</v>
      </c>
      <c r="G120" s="13" t="n">
        <v>1229</v>
      </c>
      <c r="H120" s="14" t="n">
        <f aca="false">(F120+G120)/2</f>
        <v>1226.5</v>
      </c>
      <c r="I120" s="15" t="n">
        <v>1231997</v>
      </c>
      <c r="J120" s="7" t="s">
        <v>282</v>
      </c>
      <c r="K120" s="7" t="s">
        <v>136</v>
      </c>
      <c r="L120" s="14" t="n">
        <f aca="false">I120/1000</f>
        <v>1231.997</v>
      </c>
      <c r="M120" s="14" t="n">
        <f aca="false">L120-H120</f>
        <v>5.49700000000007</v>
      </c>
      <c r="N120" s="16" t="n">
        <f aca="false">M120/ABS(H120)</f>
        <v>0.00448185894822672</v>
      </c>
      <c r="O120" s="10" t="str">
        <f aca="false">IF(L120&gt;G120,"Beat top",IF(L120&gt;=F120,"In range","Missed bottom"))</f>
        <v>Beat top</v>
      </c>
    </row>
    <row r="121" customFormat="false" ht="15" hidden="false" customHeight="false" outlineLevel="0" collapsed="false">
      <c r="A121" s="10" t="s">
        <v>276</v>
      </c>
      <c r="B121" s="7" t="s">
        <v>290</v>
      </c>
      <c r="C121" s="7" t="s">
        <v>132</v>
      </c>
      <c r="D121" s="12" t="s">
        <v>129</v>
      </c>
      <c r="E121" s="12" t="s">
        <v>284</v>
      </c>
      <c r="F121" s="13" t="n">
        <v>330</v>
      </c>
      <c r="G121" s="13" t="n">
        <v>334</v>
      </c>
      <c r="H121" s="14" t="n">
        <f aca="false">(F121+G121)/2</f>
        <v>332</v>
      </c>
      <c r="I121" s="15" t="n">
        <v>322660</v>
      </c>
      <c r="J121" s="7" t="s">
        <v>278</v>
      </c>
      <c r="K121" s="7" t="s">
        <v>136</v>
      </c>
      <c r="L121" s="14" t="n">
        <f aca="false">I121/1000</f>
        <v>322.66</v>
      </c>
      <c r="M121" s="14" t="n">
        <f aca="false">L121-H121</f>
        <v>-9.33999999999998</v>
      </c>
      <c r="N121" s="16" t="n">
        <f aca="false">M121/ABS(H121)</f>
        <v>-0.0281325301204819</v>
      </c>
      <c r="O121" s="10" t="str">
        <f aca="false">IF(L121&gt;G121,"Beat top",IF(L121&gt;=F121,"In range","Missed bottom"))</f>
        <v>Missed bottom</v>
      </c>
    </row>
    <row r="122" customFormat="false" ht="15" hidden="false" customHeight="false" outlineLevel="0" collapsed="false">
      <c r="A122" s="10" t="s">
        <v>276</v>
      </c>
      <c r="B122" s="7" t="s">
        <v>291</v>
      </c>
      <c r="C122" s="7" t="s">
        <v>132</v>
      </c>
      <c r="D122" s="12" t="s">
        <v>129</v>
      </c>
      <c r="E122" s="12" t="s">
        <v>151</v>
      </c>
      <c r="F122" s="13" t="n">
        <v>167</v>
      </c>
      <c r="G122" s="13" t="n">
        <v>169</v>
      </c>
      <c r="H122" s="14" t="n">
        <f aca="false">(F122+G122)/2</f>
        <v>168</v>
      </c>
      <c r="I122" s="15" t="n">
        <v>175263</v>
      </c>
      <c r="J122" s="7" t="s">
        <v>280</v>
      </c>
      <c r="K122" s="7" t="s">
        <v>136</v>
      </c>
      <c r="L122" s="14" t="n">
        <f aca="false">I122/1000</f>
        <v>175.263</v>
      </c>
      <c r="M122" s="14" t="n">
        <f aca="false">L122-H122</f>
        <v>7.26300000000001</v>
      </c>
      <c r="N122" s="16" t="n">
        <f aca="false">M122/ABS(H122)</f>
        <v>0.0432321428571429</v>
      </c>
      <c r="O122" s="10" t="str">
        <f aca="false">IF(L122&gt;G122,"Beat top",IF(L122&gt;=F122,"In range","Missed bottom"))</f>
        <v>Beat top</v>
      </c>
    </row>
    <row r="123" customFormat="false" ht="15" hidden="false" customHeight="false" outlineLevel="0" collapsed="false">
      <c r="A123" s="10" t="s">
        <v>276</v>
      </c>
      <c r="B123" s="7" t="s">
        <v>292</v>
      </c>
      <c r="C123" s="7" t="s">
        <v>132</v>
      </c>
      <c r="D123" s="12" t="s">
        <v>129</v>
      </c>
      <c r="E123" s="12" t="s">
        <v>24</v>
      </c>
      <c r="F123" s="13" t="n">
        <v>1226</v>
      </c>
      <c r="G123" s="13" t="n">
        <v>1228</v>
      </c>
      <c r="H123" s="14" t="n">
        <f aca="false">(F123+G123)/2</f>
        <v>1227</v>
      </c>
      <c r="I123" s="15" t="n">
        <v>1231997</v>
      </c>
      <c r="J123" s="7" t="s">
        <v>282</v>
      </c>
      <c r="K123" s="7" t="s">
        <v>136</v>
      </c>
      <c r="L123" s="14" t="n">
        <f aca="false">I123/1000</f>
        <v>1231.997</v>
      </c>
      <c r="M123" s="14" t="n">
        <f aca="false">L123-H123</f>
        <v>4.99700000000007</v>
      </c>
      <c r="N123" s="16" t="n">
        <f aca="false">M123/ABS(H123)</f>
        <v>0.00407253463732687</v>
      </c>
      <c r="O123" s="10" t="str">
        <f aca="false">IF(L123&gt;G123,"Beat top",IF(L123&gt;=F123,"In range","Missed bottom"))</f>
        <v>Beat top</v>
      </c>
    </row>
    <row r="126" customFormat="false" ht="15" hidden="false" customHeight="false" outlineLevel="0" collapsed="false">
      <c r="A126" s="4" t="s">
        <v>293</v>
      </c>
    </row>
    <row r="127" customFormat="false" ht="15" hidden="false" customHeight="false" outlineLevel="0" collapsed="false">
      <c r="A127" s="8" t="s">
        <v>26</v>
      </c>
      <c r="B127" s="8" t="s">
        <v>294</v>
      </c>
      <c r="C127" s="8" t="s">
        <v>225</v>
      </c>
      <c r="D127" s="8" t="s">
        <v>295</v>
      </c>
      <c r="E127" s="8" t="s">
        <v>206</v>
      </c>
      <c r="F127" s="8" t="s">
        <v>296</v>
      </c>
      <c r="G127" s="8" t="s">
        <v>297</v>
      </c>
      <c r="H127" s="8" t="s">
        <v>298</v>
      </c>
      <c r="I127" s="8" t="s">
        <v>27</v>
      </c>
    </row>
    <row r="128" customFormat="false" ht="43.25" hidden="false" customHeight="false" outlineLevel="0" collapsed="false">
      <c r="A128" s="9" t="s">
        <v>49</v>
      </c>
      <c r="B128" s="9" t="s">
        <v>50</v>
      </c>
      <c r="C128" s="9" t="s">
        <v>50</v>
      </c>
      <c r="D128" s="9" t="s">
        <v>50</v>
      </c>
      <c r="E128" s="9" t="s">
        <v>50</v>
      </c>
      <c r="F128" s="9" t="s">
        <v>51</v>
      </c>
      <c r="G128" s="9" t="s">
        <v>51</v>
      </c>
      <c r="H128" s="9" t="s">
        <v>50</v>
      </c>
      <c r="I128" s="9" t="s">
        <v>27</v>
      </c>
    </row>
    <row r="129" customFormat="false" ht="15" hidden="false" customHeight="false" outlineLevel="0" collapsed="false">
      <c r="A129" s="7" t="s">
        <v>299</v>
      </c>
      <c r="B129" s="11" t="n">
        <v>46062</v>
      </c>
      <c r="C129" s="12" t="s">
        <v>133</v>
      </c>
      <c r="D129" s="12" t="s">
        <v>300</v>
      </c>
      <c r="E129" s="12" t="s">
        <v>284</v>
      </c>
      <c r="F129" s="13" t="n">
        <v>275</v>
      </c>
      <c r="G129" s="13" t="n">
        <v>290</v>
      </c>
      <c r="H129" s="12" t="s">
        <v>301</v>
      </c>
      <c r="I129" s="7" t="s">
        <v>136</v>
      </c>
    </row>
    <row r="130" customFormat="false" ht="15" hidden="false" customHeight="false" outlineLevel="0" collapsed="false">
      <c r="A130" s="7" t="s">
        <v>302</v>
      </c>
      <c r="B130" s="11" t="n">
        <v>46062</v>
      </c>
      <c r="C130" s="12" t="s">
        <v>133</v>
      </c>
      <c r="D130" s="12" t="s">
        <v>300</v>
      </c>
      <c r="E130" s="12" t="s">
        <v>151</v>
      </c>
      <c r="F130" s="13" t="n">
        <v>165</v>
      </c>
      <c r="G130" s="13" t="n">
        <v>175</v>
      </c>
      <c r="H130" s="12" t="s">
        <v>301</v>
      </c>
      <c r="I130" s="7" t="s">
        <v>136</v>
      </c>
    </row>
    <row r="131" customFormat="false" ht="15" hidden="false" customHeight="false" outlineLevel="0" collapsed="false">
      <c r="A131" s="7" t="s">
        <v>303</v>
      </c>
      <c r="B131" s="11" t="n">
        <v>46062</v>
      </c>
      <c r="C131" s="12" t="s">
        <v>133</v>
      </c>
      <c r="D131" s="12" t="s">
        <v>300</v>
      </c>
      <c r="E131" s="12" t="s">
        <v>24</v>
      </c>
      <c r="F131" s="13" t="n">
        <v>1452</v>
      </c>
      <c r="G131" s="13" t="n">
        <v>1462</v>
      </c>
      <c r="H131" s="12" t="s">
        <v>301</v>
      </c>
      <c r="I131" s="7" t="s">
        <v>136</v>
      </c>
    </row>
    <row r="132" customFormat="false" ht="15" hidden="false" customHeight="false" outlineLevel="0" collapsed="false">
      <c r="A132" s="7" t="s">
        <v>189</v>
      </c>
      <c r="B132" s="11" t="n">
        <v>46062</v>
      </c>
      <c r="C132" s="12" t="s">
        <v>133</v>
      </c>
      <c r="D132" s="12" t="s">
        <v>138</v>
      </c>
      <c r="E132" s="12" t="s">
        <v>151</v>
      </c>
      <c r="F132" s="13" t="n">
        <v>37</v>
      </c>
      <c r="G132" s="13" t="n">
        <v>39</v>
      </c>
      <c r="H132" s="12" t="s">
        <v>301</v>
      </c>
      <c r="I132" s="7" t="s">
        <v>136</v>
      </c>
    </row>
    <row r="133" customFormat="false" ht="15" hidden="false" customHeight="false" outlineLevel="0" collapsed="false">
      <c r="A133" s="7" t="s">
        <v>139</v>
      </c>
      <c r="B133" s="11" t="n">
        <v>46062</v>
      </c>
      <c r="C133" s="12" t="s">
        <v>133</v>
      </c>
      <c r="D133" s="12" t="s">
        <v>138</v>
      </c>
      <c r="E133" s="12" t="s">
        <v>24</v>
      </c>
      <c r="F133" s="13" t="n">
        <v>338</v>
      </c>
      <c r="G133" s="13" t="n">
        <v>340</v>
      </c>
      <c r="H133" s="12" t="s">
        <v>301</v>
      </c>
      <c r="I133" s="7" t="s">
        <v>136</v>
      </c>
    </row>
    <row r="134" customFormat="false" ht="15" hidden="false" customHeight="false" outlineLevel="0" collapsed="false">
      <c r="A134" s="7" t="s">
        <v>304</v>
      </c>
      <c r="B134" s="11" t="n">
        <v>46153</v>
      </c>
      <c r="C134" s="12" t="s">
        <v>138</v>
      </c>
      <c r="D134" s="12" t="s">
        <v>300</v>
      </c>
      <c r="E134" s="12" t="s">
        <v>284</v>
      </c>
      <c r="F134" s="13" t="n">
        <v>280</v>
      </c>
      <c r="G134" s="13" t="n">
        <v>290</v>
      </c>
      <c r="H134" s="12" t="s">
        <v>301</v>
      </c>
      <c r="I134" s="7" t="s">
        <v>141</v>
      </c>
    </row>
    <row r="135" customFormat="false" ht="15" hidden="false" customHeight="false" outlineLevel="0" collapsed="false">
      <c r="A135" s="7" t="s">
        <v>305</v>
      </c>
      <c r="B135" s="11" t="n">
        <v>46153</v>
      </c>
      <c r="C135" s="12" t="s">
        <v>138</v>
      </c>
      <c r="D135" s="12" t="s">
        <v>300</v>
      </c>
      <c r="E135" s="12" t="s">
        <v>151</v>
      </c>
      <c r="F135" s="13" t="n">
        <v>185</v>
      </c>
      <c r="G135" s="13" t="n">
        <v>191</v>
      </c>
      <c r="H135" s="12" t="s">
        <v>301</v>
      </c>
      <c r="I135" s="7" t="s">
        <v>141</v>
      </c>
    </row>
    <row r="136" customFormat="false" ht="15" hidden="false" customHeight="false" outlineLevel="0" collapsed="false">
      <c r="A136" s="7" t="s">
        <v>306</v>
      </c>
      <c r="B136" s="11" t="n">
        <v>46153</v>
      </c>
      <c r="C136" s="12" t="s">
        <v>138</v>
      </c>
      <c r="D136" s="12" t="s">
        <v>300</v>
      </c>
      <c r="E136" s="12" t="s">
        <v>24</v>
      </c>
      <c r="F136" s="13" t="n">
        <v>1466</v>
      </c>
      <c r="G136" s="13" t="n">
        <v>1474</v>
      </c>
      <c r="H136" s="12" t="s">
        <v>301</v>
      </c>
      <c r="I136" s="7" t="s">
        <v>141</v>
      </c>
    </row>
    <row r="137" customFormat="false" ht="15" hidden="false" customHeight="false" outlineLevel="0" collapsed="false">
      <c r="A137" s="7" t="s">
        <v>192</v>
      </c>
      <c r="B137" s="11" t="n">
        <v>46153</v>
      </c>
      <c r="C137" s="12" t="s">
        <v>138</v>
      </c>
      <c r="D137" s="12" t="s">
        <v>143</v>
      </c>
      <c r="E137" s="12" t="s">
        <v>151</v>
      </c>
      <c r="F137" s="13" t="n">
        <v>46</v>
      </c>
      <c r="G137" s="13" t="n">
        <v>48</v>
      </c>
      <c r="H137" s="12" t="s">
        <v>301</v>
      </c>
      <c r="I137" s="7" t="s">
        <v>141</v>
      </c>
    </row>
    <row r="138" customFormat="false" ht="15" hidden="false" customHeight="false" outlineLevel="0" collapsed="false">
      <c r="A138" s="7" t="s">
        <v>144</v>
      </c>
      <c r="B138" s="11" t="n">
        <v>46153</v>
      </c>
      <c r="C138" s="12" t="s">
        <v>138</v>
      </c>
      <c r="D138" s="12" t="s">
        <v>143</v>
      </c>
      <c r="E138" s="12" t="s">
        <v>24</v>
      </c>
      <c r="F138" s="13" t="n">
        <v>354</v>
      </c>
      <c r="G138" s="13" t="n">
        <v>356</v>
      </c>
      <c r="H138" s="12" t="s">
        <v>301</v>
      </c>
      <c r="I138" s="7" t="s">
        <v>141</v>
      </c>
    </row>
    <row r="139" customFormat="false" ht="15" hidden="false" customHeight="false" outlineLevel="0" collapsed="false">
      <c r="A139" s="7" t="s">
        <v>307</v>
      </c>
      <c r="B139" s="11" t="n">
        <v>46225</v>
      </c>
      <c r="C139" s="12" t="s">
        <v>308</v>
      </c>
      <c r="D139" s="12" t="s">
        <v>300</v>
      </c>
      <c r="E139" s="12" t="s">
        <v>309</v>
      </c>
      <c r="F139" s="18" t="n">
        <v>0.19</v>
      </c>
      <c r="G139" s="18" t="n">
        <v>0.2</v>
      </c>
      <c r="H139" s="12" t="s">
        <v>310</v>
      </c>
      <c r="I139" s="7" t="s">
        <v>311</v>
      </c>
    </row>
    <row r="140" customFormat="false" ht="15" hidden="false" customHeight="false" outlineLevel="0" collapsed="false">
      <c r="A140" s="7" t="s">
        <v>312</v>
      </c>
      <c r="B140" s="11" t="n">
        <v>46225</v>
      </c>
      <c r="C140" s="12" t="s">
        <v>308</v>
      </c>
      <c r="D140" s="12" t="s">
        <v>300</v>
      </c>
      <c r="E140" s="12" t="s">
        <v>313</v>
      </c>
      <c r="F140" s="18" t="n">
        <v>0.15</v>
      </c>
      <c r="G140" s="18" t="n">
        <v>0.15</v>
      </c>
      <c r="H140" s="12" t="s">
        <v>310</v>
      </c>
      <c r="I140" s="7" t="s">
        <v>311</v>
      </c>
    </row>
    <row r="141" customFormat="false" ht="15" hidden="false" customHeight="false" outlineLevel="0" collapsed="false">
      <c r="A141" s="7" t="s">
        <v>314</v>
      </c>
      <c r="B141" s="11" t="n">
        <v>46225</v>
      </c>
      <c r="C141" s="12" t="s">
        <v>308</v>
      </c>
      <c r="D141" s="12" t="s">
        <v>300</v>
      </c>
      <c r="E141" s="12" t="s">
        <v>315</v>
      </c>
      <c r="F141" s="18" t="n">
        <v>0.19</v>
      </c>
      <c r="G141" s="18" t="n">
        <v>0.2</v>
      </c>
      <c r="H141" s="12" t="s">
        <v>310</v>
      </c>
      <c r="I141" s="7" t="s">
        <v>311</v>
      </c>
    </row>
    <row r="142" customFormat="false" ht="15" hidden="false" customHeight="false" outlineLevel="0" collapsed="false">
      <c r="A142" s="7" t="s">
        <v>316</v>
      </c>
      <c r="B142" s="11" t="n">
        <v>46244</v>
      </c>
      <c r="C142" s="12" t="s">
        <v>143</v>
      </c>
      <c r="D142" s="12" t="s">
        <v>300</v>
      </c>
      <c r="E142" s="12" t="s">
        <v>284</v>
      </c>
      <c r="F142" s="13" t="n">
        <v>280</v>
      </c>
      <c r="G142" s="13" t="n">
        <v>290</v>
      </c>
      <c r="H142" s="12" t="s">
        <v>301</v>
      </c>
      <c r="I142" s="7" t="s">
        <v>146</v>
      </c>
    </row>
    <row r="143" customFormat="false" ht="15" hidden="false" customHeight="false" outlineLevel="0" collapsed="false">
      <c r="A143" s="7" t="s">
        <v>317</v>
      </c>
      <c r="B143" s="11" t="n">
        <v>46244</v>
      </c>
      <c r="C143" s="12" t="s">
        <v>143</v>
      </c>
      <c r="D143" s="12" t="s">
        <v>300</v>
      </c>
      <c r="E143" s="12" t="s">
        <v>151</v>
      </c>
      <c r="F143" s="13" t="n">
        <v>230</v>
      </c>
      <c r="G143" s="13" t="n">
        <v>234</v>
      </c>
      <c r="H143" s="12" t="s">
        <v>301</v>
      </c>
      <c r="I143" s="7" t="s">
        <v>146</v>
      </c>
    </row>
    <row r="144" customFormat="false" ht="15" hidden="false" customHeight="false" outlineLevel="0" collapsed="false">
      <c r="A144" s="7" t="s">
        <v>318</v>
      </c>
      <c r="B144" s="11" t="n">
        <v>46244</v>
      </c>
      <c r="C144" s="12" t="s">
        <v>143</v>
      </c>
      <c r="D144" s="12" t="s">
        <v>300</v>
      </c>
      <c r="E144" s="12" t="s">
        <v>24</v>
      </c>
      <c r="F144" s="13" t="n">
        <v>1466</v>
      </c>
      <c r="G144" s="13" t="n">
        <v>1474</v>
      </c>
      <c r="H144" s="12" t="s">
        <v>301</v>
      </c>
      <c r="I144" s="7" t="s">
        <v>146</v>
      </c>
    </row>
    <row r="145" customFormat="false" ht="15" hidden="false" customHeight="false" outlineLevel="0" collapsed="false">
      <c r="A145" s="7" t="s">
        <v>319</v>
      </c>
      <c r="B145" s="11" t="n">
        <v>46244</v>
      </c>
      <c r="C145" s="12" t="s">
        <v>143</v>
      </c>
      <c r="D145" s="12" t="s">
        <v>320</v>
      </c>
      <c r="E145" s="12" t="s">
        <v>151</v>
      </c>
      <c r="F145" s="13" t="n">
        <v>57</v>
      </c>
      <c r="G145" s="13" t="n">
        <v>59</v>
      </c>
      <c r="H145" s="12" t="s">
        <v>301</v>
      </c>
      <c r="I145" s="7" t="s">
        <v>146</v>
      </c>
    </row>
    <row r="146" customFormat="false" ht="15" hidden="false" customHeight="false" outlineLevel="0" collapsed="false">
      <c r="A146" s="7" t="s">
        <v>321</v>
      </c>
      <c r="B146" s="11" t="n">
        <v>46244</v>
      </c>
      <c r="C146" s="12" t="s">
        <v>143</v>
      </c>
      <c r="D146" s="12" t="s">
        <v>320</v>
      </c>
      <c r="E146" s="12" t="s">
        <v>24</v>
      </c>
      <c r="F146" s="13" t="n">
        <v>368</v>
      </c>
      <c r="G146" s="13" t="n">
        <v>370</v>
      </c>
      <c r="H146" s="12" t="s">
        <v>301</v>
      </c>
      <c r="I146" s="7" t="s">
        <v>146</v>
      </c>
    </row>
    <row r="148" customFormat="false" ht="15" hidden="false" customHeight="false" outlineLevel="0" collapsed="false">
      <c r="A148" s="7"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5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6" min="3" style="0" width="9"/>
    <col collapsed="false" customWidth="true" hidden="false" outlineLevel="0" max="7" min="7" style="0" width="10"/>
    <col collapsed="false" customWidth="true" hidden="false" outlineLevel="0" max="8" min="8" style="0" width="11"/>
    <col collapsed="false" customWidth="true" hidden="false" outlineLevel="0" max="10" min="9" style="0" width="10"/>
    <col collapsed="false" customWidth="true" hidden="false" outlineLevel="0" max="11" min="11" style="0" width="11"/>
    <col collapsed="false" customWidth="true" hidden="false" outlineLevel="0" max="13" min="12" style="0" width="10"/>
    <col collapsed="false" customWidth="true" hidden="false" outlineLevel="0" max="14" min="14" style="0" width="11"/>
    <col collapsed="false" customWidth="true" hidden="false" outlineLevel="0" max="16" min="15" style="0" width="10"/>
    <col collapsed="false" customWidth="true" hidden="false" outlineLevel="0" max="17" min="17" style="0" width="11"/>
    <col collapsed="false" customWidth="true" hidden="false" outlineLevel="0" max="19" min="18" style="0" width="10"/>
    <col collapsed="false" customWidth="true" hidden="false" outlineLevel="0" max="20" min="20" style="0" width="11"/>
    <col collapsed="false" customWidth="true" hidden="false" outlineLevel="0" max="21" min="21" style="0" width="10"/>
    <col collapsed="false" customWidth="true" hidden="false" outlineLevel="0" max="22" min="22" style="0" width="9"/>
    <col collapsed="false" customWidth="true" hidden="false" outlineLevel="0" max="23" min="23" style="0" width="10"/>
    <col collapsed="false" customWidth="true" hidden="false" outlineLevel="0" max="24" min="24" style="0" width="11"/>
    <col collapsed="false" customWidth="true" hidden="false" outlineLevel="0" max="25" min="25" style="0" width="10"/>
    <col collapsed="false" customWidth="true" hidden="false" outlineLevel="0" max="26" min="26" style="0" width="9"/>
    <col collapsed="false" customWidth="true" hidden="false" outlineLevel="0" max="27" min="27" style="0" width="10"/>
    <col collapsed="false" customWidth="true" hidden="false" outlineLevel="0" max="28" min="28" style="0" width="11"/>
    <col collapsed="false" customWidth="true" hidden="false" outlineLevel="0" max="29" min="29" style="0" width="10"/>
    <col collapsed="false" customWidth="true" hidden="false" outlineLevel="0" max="30" min="30" style="0" width="9"/>
    <col collapsed="false" customWidth="true" hidden="false" outlineLevel="0" max="31" min="31" style="0" width="10"/>
    <col collapsed="false" customWidth="true" hidden="false" outlineLevel="0" max="32" min="32" style="0" width="11"/>
    <col collapsed="false" customWidth="true" hidden="false" outlineLevel="0" max="33" min="33" style="0" width="10"/>
    <col collapsed="false" customWidth="true" hidden="false" outlineLevel="0" max="34" min="34" style="0" width="9"/>
    <col collapsed="false" customWidth="true" hidden="false" outlineLevel="0" max="35" min="35" style="0" width="10"/>
    <col collapsed="false" customWidth="true" hidden="false" outlineLevel="0" max="36" min="36" style="0" width="11"/>
    <col collapsed="false" customWidth="true" hidden="false" outlineLevel="0" max="38" min="37" style="0" width="10"/>
    <col collapsed="false" customWidth="true" hidden="false" outlineLevel="0" max="39" min="39" style="0" width="11"/>
    <col collapsed="false" customWidth="true" hidden="false" outlineLevel="0" max="41" min="40" style="0" width="10"/>
    <col collapsed="false" customWidth="true" hidden="false" outlineLevel="0" max="42" min="42" style="0" width="11"/>
    <col collapsed="false" customWidth="true" hidden="false" outlineLevel="0" max="44" min="43" style="0" width="10"/>
    <col collapsed="false" customWidth="true" hidden="false" outlineLevel="0" max="45" min="45" style="0" width="11"/>
    <col collapsed="false" customWidth="true" hidden="false" outlineLevel="0" max="46" min="46" style="0" width="10"/>
    <col collapsed="false" customWidth="true" hidden="false" outlineLevel="0" max="47" min="47" style="0" width="90"/>
  </cols>
  <sheetData>
    <row r="1" customFormat="false" ht="16.15" hidden="false" customHeight="false" outlineLevel="0" collapsed="false">
      <c r="A1" s="6" t="s">
        <v>323</v>
      </c>
    </row>
    <row r="2" customFormat="false" ht="15" hidden="false" customHeight="false" outlineLevel="0" collapsed="false">
      <c r="A2" s="7" t="s">
        <v>324</v>
      </c>
    </row>
    <row r="4" customFormat="false" ht="46.25" hidden="false" customHeight="false" outlineLevel="0" collapsed="false">
      <c r="A4" s="8" t="s">
        <v>25</v>
      </c>
      <c r="B4" s="8" t="s">
        <v>325</v>
      </c>
      <c r="C4" s="8" t="s">
        <v>326</v>
      </c>
      <c r="D4" s="8" t="s">
        <v>27</v>
      </c>
      <c r="E4" s="8" t="s">
        <v>327</v>
      </c>
      <c r="F4" s="8" t="s">
        <v>328</v>
      </c>
      <c r="G4" s="8" t="s">
        <v>329</v>
      </c>
      <c r="H4" s="8" t="s">
        <v>326</v>
      </c>
      <c r="I4" s="8" t="s">
        <v>27</v>
      </c>
      <c r="J4" s="8" t="s">
        <v>330</v>
      </c>
      <c r="K4" s="8" t="s">
        <v>326</v>
      </c>
      <c r="L4" s="8" t="s">
        <v>27</v>
      </c>
      <c r="M4" s="8" t="s">
        <v>331</v>
      </c>
      <c r="N4" s="8" t="s">
        <v>326</v>
      </c>
      <c r="O4" s="8" t="s">
        <v>27</v>
      </c>
      <c r="P4" s="8" t="s">
        <v>332</v>
      </c>
      <c r="Q4" s="8" t="s">
        <v>326</v>
      </c>
      <c r="R4" s="8" t="s">
        <v>27</v>
      </c>
      <c r="S4" s="8" t="s">
        <v>333</v>
      </c>
      <c r="T4" s="8" t="s">
        <v>326</v>
      </c>
      <c r="U4" s="8" t="s">
        <v>27</v>
      </c>
      <c r="V4" s="8" t="s">
        <v>334</v>
      </c>
      <c r="W4" s="8" t="s">
        <v>335</v>
      </c>
      <c r="X4" s="8" t="s">
        <v>326</v>
      </c>
      <c r="Y4" s="8" t="s">
        <v>27</v>
      </c>
      <c r="Z4" s="8" t="s">
        <v>336</v>
      </c>
      <c r="AA4" s="8" t="s">
        <v>337</v>
      </c>
      <c r="AB4" s="8" t="s">
        <v>326</v>
      </c>
      <c r="AC4" s="8" t="s">
        <v>27</v>
      </c>
      <c r="AD4" s="8" t="s">
        <v>338</v>
      </c>
      <c r="AE4" s="8" t="s">
        <v>339</v>
      </c>
      <c r="AF4" s="8" t="s">
        <v>326</v>
      </c>
      <c r="AG4" s="8" t="s">
        <v>27</v>
      </c>
      <c r="AH4" s="8" t="s">
        <v>340</v>
      </c>
      <c r="AI4" s="8" t="s">
        <v>341</v>
      </c>
      <c r="AJ4" s="8" t="s">
        <v>326</v>
      </c>
      <c r="AK4" s="8" t="s">
        <v>27</v>
      </c>
      <c r="AL4" s="8" t="s">
        <v>342</v>
      </c>
      <c r="AM4" s="8" t="s">
        <v>326</v>
      </c>
      <c r="AN4" s="8" t="s">
        <v>27</v>
      </c>
      <c r="AO4" s="8" t="s">
        <v>343</v>
      </c>
      <c r="AP4" s="8" t="s">
        <v>326</v>
      </c>
      <c r="AQ4" s="8" t="s">
        <v>27</v>
      </c>
      <c r="AR4" s="8" t="s">
        <v>344</v>
      </c>
      <c r="AS4" s="8" t="s">
        <v>326</v>
      </c>
      <c r="AT4" s="8" t="s">
        <v>27</v>
      </c>
      <c r="AU4" s="8" t="s">
        <v>345</v>
      </c>
    </row>
    <row r="5" customFormat="false" ht="53.7" hidden="false" customHeight="false" outlineLevel="0" collapsed="false">
      <c r="A5" s="9" t="s">
        <v>48</v>
      </c>
      <c r="B5" s="9" t="s">
        <v>51</v>
      </c>
      <c r="C5" s="9" t="s">
        <v>49</v>
      </c>
      <c r="D5" s="9" t="s">
        <v>27</v>
      </c>
      <c r="E5" s="9" t="s">
        <v>52</v>
      </c>
      <c r="F5" s="9" t="s">
        <v>52</v>
      </c>
      <c r="G5" s="9" t="s">
        <v>346</v>
      </c>
      <c r="H5" s="9" t="s">
        <v>49</v>
      </c>
      <c r="I5" s="9" t="s">
        <v>27</v>
      </c>
      <c r="J5" s="9" t="s">
        <v>346</v>
      </c>
      <c r="K5" s="9" t="s">
        <v>49</v>
      </c>
      <c r="L5" s="9" t="s">
        <v>27</v>
      </c>
      <c r="M5" s="9" t="s">
        <v>346</v>
      </c>
      <c r="N5" s="9" t="s">
        <v>49</v>
      </c>
      <c r="O5" s="9" t="s">
        <v>27</v>
      </c>
      <c r="P5" s="9" t="s">
        <v>346</v>
      </c>
      <c r="Q5" s="9" t="s">
        <v>49</v>
      </c>
      <c r="R5" s="9" t="s">
        <v>27</v>
      </c>
      <c r="S5" s="9" t="s">
        <v>346</v>
      </c>
      <c r="T5" s="9" t="s">
        <v>49</v>
      </c>
      <c r="U5" s="9" t="s">
        <v>27</v>
      </c>
      <c r="V5" s="9" t="s">
        <v>52</v>
      </c>
      <c r="W5" s="9" t="s">
        <v>346</v>
      </c>
      <c r="X5" s="9" t="s">
        <v>49</v>
      </c>
      <c r="Y5" s="9" t="s">
        <v>27</v>
      </c>
      <c r="Z5" s="9" t="s">
        <v>52</v>
      </c>
      <c r="AA5" s="9" t="s">
        <v>346</v>
      </c>
      <c r="AB5" s="9" t="s">
        <v>49</v>
      </c>
      <c r="AC5" s="9" t="s">
        <v>27</v>
      </c>
      <c r="AD5" s="9" t="s">
        <v>52</v>
      </c>
      <c r="AE5" s="9" t="s">
        <v>346</v>
      </c>
      <c r="AF5" s="9" t="s">
        <v>49</v>
      </c>
      <c r="AG5" s="9" t="s">
        <v>27</v>
      </c>
      <c r="AH5" s="9" t="s">
        <v>52</v>
      </c>
      <c r="AI5" s="9" t="s">
        <v>346</v>
      </c>
      <c r="AJ5" s="9" t="s">
        <v>49</v>
      </c>
      <c r="AK5" s="9" t="s">
        <v>27</v>
      </c>
      <c r="AL5" s="9" t="s">
        <v>346</v>
      </c>
      <c r="AM5" s="9" t="s">
        <v>49</v>
      </c>
      <c r="AN5" s="9" t="s">
        <v>27</v>
      </c>
      <c r="AO5" s="9" t="s">
        <v>346</v>
      </c>
      <c r="AP5" s="9" t="s">
        <v>49</v>
      </c>
      <c r="AQ5" s="9" t="s">
        <v>27</v>
      </c>
      <c r="AR5" s="9" t="s">
        <v>346</v>
      </c>
      <c r="AS5" s="9" t="s">
        <v>49</v>
      </c>
      <c r="AT5" s="9" t="s">
        <v>27</v>
      </c>
      <c r="AU5" s="9" t="s">
        <v>48</v>
      </c>
    </row>
    <row r="6" customFormat="false" ht="15" hidden="false" customHeight="false" outlineLevel="0" collapsed="false">
      <c r="A6" s="10" t="s">
        <v>347</v>
      </c>
      <c r="B6" s="15" t="n">
        <v>58972</v>
      </c>
      <c r="C6" s="7" t="s">
        <v>348</v>
      </c>
      <c r="D6" s="7" t="s">
        <v>66</v>
      </c>
      <c r="W6" s="19" t="n">
        <v>335</v>
      </c>
      <c r="X6" s="7" t="s">
        <v>349</v>
      </c>
      <c r="Y6" s="7" t="s">
        <v>66</v>
      </c>
      <c r="AL6" s="18" t="n">
        <v>0.12</v>
      </c>
      <c r="AM6" s="7" t="s">
        <v>350</v>
      </c>
      <c r="AN6" s="7" t="s">
        <v>66</v>
      </c>
      <c r="AU6" s="10" t="s">
        <v>351</v>
      </c>
    </row>
    <row r="7" customFormat="false" ht="15" hidden="false" customHeight="false" outlineLevel="0" collapsed="false">
      <c r="A7" s="10" t="s">
        <v>232</v>
      </c>
      <c r="B7" s="15" t="n">
        <v>70615</v>
      </c>
      <c r="C7" s="7" t="s">
        <v>352</v>
      </c>
      <c r="D7" s="7" t="s">
        <v>56</v>
      </c>
      <c r="F7" s="16" t="n">
        <f aca="false">IF(OR(B7="",B6=""),"",B7/B6-1)</f>
        <v>0.197432679915892</v>
      </c>
      <c r="J7" s="18" t="n">
        <v>1.25</v>
      </c>
      <c r="K7" s="7" t="s">
        <v>353</v>
      </c>
      <c r="L7" s="7" t="s">
        <v>56</v>
      </c>
      <c r="W7" s="19" t="n">
        <v>470</v>
      </c>
      <c r="X7" s="7" t="s">
        <v>354</v>
      </c>
      <c r="Y7" s="7" t="s">
        <v>56</v>
      </c>
      <c r="AU7" s="10" t="s">
        <v>355</v>
      </c>
    </row>
    <row r="8" customFormat="false" ht="15" hidden="false" customHeight="false" outlineLevel="0" collapsed="false">
      <c r="A8" s="10" t="s">
        <v>54</v>
      </c>
      <c r="B8" s="15" t="n">
        <v>83018</v>
      </c>
      <c r="C8" s="7" t="s">
        <v>57</v>
      </c>
      <c r="D8" s="7" t="s">
        <v>58</v>
      </c>
      <c r="F8" s="16" t="n">
        <f aca="false">IF(OR(B8="",B7=""),"",B8/B7-1)</f>
        <v>0.175642568859308</v>
      </c>
      <c r="J8" s="18" t="n">
        <v>1.3</v>
      </c>
      <c r="K8" s="7" t="s">
        <v>356</v>
      </c>
      <c r="L8" s="7" t="s">
        <v>58</v>
      </c>
      <c r="W8" s="19" t="n">
        <v>613</v>
      </c>
      <c r="X8" s="7" t="s">
        <v>357</v>
      </c>
      <c r="Y8" s="7" t="s">
        <v>58</v>
      </c>
      <c r="AU8" s="10" t="s">
        <v>358</v>
      </c>
    </row>
    <row r="9" customFormat="false" ht="15" hidden="false" customHeight="false" outlineLevel="0" collapsed="false">
      <c r="A9" s="10" t="s">
        <v>59</v>
      </c>
      <c r="B9" s="15" t="n">
        <v>95545</v>
      </c>
      <c r="C9" s="7" t="s">
        <v>61</v>
      </c>
      <c r="D9" s="7" t="s">
        <v>62</v>
      </c>
      <c r="F9" s="16" t="n">
        <f aca="false">IF(OR(B9="",B8=""),"",B9/B8-1)</f>
        <v>0.150894986629406</v>
      </c>
      <c r="G9" s="18" t="n">
        <v>1.2</v>
      </c>
      <c r="H9" s="7" t="s">
        <v>359</v>
      </c>
      <c r="I9" s="7" t="s">
        <v>62</v>
      </c>
      <c r="J9" s="18" t="n">
        <v>1.35</v>
      </c>
      <c r="K9" s="7" t="s">
        <v>360</v>
      </c>
      <c r="L9" s="7" t="s">
        <v>62</v>
      </c>
      <c r="W9" s="19" t="n">
        <v>793</v>
      </c>
      <c r="X9" s="7" t="s">
        <v>361</v>
      </c>
      <c r="Y9" s="7" t="s">
        <v>62</v>
      </c>
      <c r="AI9" s="18" t="n">
        <v>0.72</v>
      </c>
      <c r="AJ9" s="7" t="s">
        <v>362</v>
      </c>
      <c r="AK9" s="7" t="s">
        <v>62</v>
      </c>
      <c r="AU9" s="10" t="s">
        <v>363</v>
      </c>
    </row>
    <row r="10" customFormat="false" ht="15" hidden="false" customHeight="false" outlineLevel="0" collapsed="false">
      <c r="A10" s="10" t="s">
        <v>63</v>
      </c>
      <c r="B10" s="15" t="n">
        <v>108497</v>
      </c>
      <c r="C10" s="7" t="s">
        <v>65</v>
      </c>
      <c r="D10" s="7" t="s">
        <v>66</v>
      </c>
      <c r="E10" s="16" t="n">
        <f aca="false">IF(OR(B10="",B6=""),"",B10/B6-1)</f>
        <v>0.839805331343689</v>
      </c>
      <c r="F10" s="16" t="n">
        <f aca="false">IF(OR(B10="",B9=""),"",B10/B9-1)</f>
        <v>0.135559160604951</v>
      </c>
      <c r="G10" s="18" t="n">
        <v>1.25</v>
      </c>
      <c r="H10" s="7" t="s">
        <v>364</v>
      </c>
      <c r="I10" s="7" t="s">
        <v>66</v>
      </c>
      <c r="J10" s="18" t="n">
        <v>1.35</v>
      </c>
      <c r="K10" s="7" t="s">
        <v>365</v>
      </c>
      <c r="L10" s="7" t="s">
        <v>66</v>
      </c>
      <c r="M10" s="18" t="n">
        <v>1.5</v>
      </c>
      <c r="N10" s="7" t="s">
        <v>366</v>
      </c>
      <c r="O10" s="7" t="s">
        <v>66</v>
      </c>
      <c r="V10" s="16" t="str">
        <f aca="false">IF(OR(S10="",S6=""),"",S10/S6-1)</f>
        <v/>
      </c>
      <c r="W10" s="19" t="n">
        <v>960</v>
      </c>
      <c r="X10" s="7" t="s">
        <v>367</v>
      </c>
      <c r="Y10" s="7" t="s">
        <v>66</v>
      </c>
      <c r="Z10" s="16" t="n">
        <f aca="false">IF(OR(W10="",W6=""),"",W10/W6-1)</f>
        <v>1.86567164179104</v>
      </c>
      <c r="AD10" s="16" t="str">
        <f aca="false">IF(OR(AA10="",AA6=""),"",AA10/AA6-1)</f>
        <v/>
      </c>
      <c r="AH10" s="16" t="str">
        <f aca="false">IF(OR(AE10="",AE6=""),"",AE10/AE6-1)</f>
        <v/>
      </c>
      <c r="AL10" s="18" t="n">
        <v>0.22</v>
      </c>
      <c r="AM10" s="7" t="s">
        <v>368</v>
      </c>
      <c r="AN10" s="7" t="s">
        <v>66</v>
      </c>
      <c r="AU10" s="10" t="s">
        <v>369</v>
      </c>
    </row>
    <row r="11" customFormat="false" ht="15" hidden="false" customHeight="false" outlineLevel="0" collapsed="false">
      <c r="A11" s="10" t="s">
        <v>69</v>
      </c>
      <c r="B11" s="15" t="n">
        <v>123718</v>
      </c>
      <c r="C11" s="7" t="s">
        <v>71</v>
      </c>
      <c r="D11" s="7" t="s">
        <v>72</v>
      </c>
      <c r="E11" s="16" t="n">
        <f aca="false">IF(OR(B11="",B7=""),"",B11/B7-1)</f>
        <v>0.752007363874531</v>
      </c>
      <c r="F11" s="16" t="n">
        <f aca="false">IF(OR(B11="",B10=""),"",B11/B10-1)</f>
        <v>0.140289593260643</v>
      </c>
      <c r="G11" s="18" t="n">
        <v>1.25</v>
      </c>
      <c r="H11" s="7" t="s">
        <v>370</v>
      </c>
      <c r="I11" s="7" t="s">
        <v>72</v>
      </c>
      <c r="J11" s="18" t="n">
        <v>1.35</v>
      </c>
      <c r="K11" s="7" t="s">
        <v>371</v>
      </c>
      <c r="L11" s="7" t="s">
        <v>72</v>
      </c>
      <c r="M11" s="18" t="n">
        <v>1.5</v>
      </c>
      <c r="N11" s="7" t="s">
        <v>372</v>
      </c>
      <c r="O11" s="7" t="s">
        <v>72</v>
      </c>
      <c r="V11" s="16" t="str">
        <f aca="false">IF(OR(S11="",S7=""),"",S11/S7-1)</f>
        <v/>
      </c>
      <c r="W11" s="19" t="n">
        <v>1160</v>
      </c>
      <c r="X11" s="7" t="s">
        <v>373</v>
      </c>
      <c r="Y11" s="7" t="s">
        <v>72</v>
      </c>
      <c r="Z11" s="16" t="n">
        <f aca="false">IF(OR(W11="",W7=""),"",W11/W7-1)</f>
        <v>1.46808510638298</v>
      </c>
      <c r="AD11" s="16" t="str">
        <f aca="false">IF(OR(AA11="",AA7=""),"",AA11/AA7-1)</f>
        <v/>
      </c>
      <c r="AH11" s="16" t="str">
        <f aca="false">IF(OR(AE11="",AE7=""),"",AE11/AE7-1)</f>
        <v/>
      </c>
      <c r="AU11" s="10" t="s">
        <v>369</v>
      </c>
    </row>
    <row r="12" customFormat="false" ht="15" hidden="false" customHeight="false" outlineLevel="0" collapsed="false">
      <c r="A12" s="10" t="s">
        <v>74</v>
      </c>
      <c r="B12" s="15" t="n">
        <v>136893</v>
      </c>
      <c r="C12" s="7" t="s">
        <v>76</v>
      </c>
      <c r="D12" s="7" t="s">
        <v>68</v>
      </c>
      <c r="E12" s="16" t="n">
        <f aca="false">IF(OR(B12="",B8=""),"",B12/B8-1)</f>
        <v>0.648955648172686</v>
      </c>
      <c r="F12" s="16" t="n">
        <f aca="false">IF(OR(B12="",B11=""),"",B12/B11-1)</f>
        <v>0.106492183837437</v>
      </c>
      <c r="G12" s="18" t="n">
        <v>1.2</v>
      </c>
      <c r="H12" s="7" t="s">
        <v>374</v>
      </c>
      <c r="I12" s="7" t="s">
        <v>68</v>
      </c>
      <c r="J12" s="18" t="n">
        <v>1.35</v>
      </c>
      <c r="K12" s="7" t="s">
        <v>375</v>
      </c>
      <c r="L12" s="7" t="s">
        <v>68</v>
      </c>
      <c r="M12" s="18" t="n">
        <v>1.45</v>
      </c>
      <c r="N12" s="7" t="s">
        <v>376</v>
      </c>
      <c r="O12" s="7" t="s">
        <v>68</v>
      </c>
      <c r="V12" s="16" t="str">
        <f aca="false">IF(OR(S12="",S8=""),"",S12/S8-1)</f>
        <v/>
      </c>
      <c r="W12" s="19" t="n">
        <v>1323</v>
      </c>
      <c r="X12" s="7" t="s">
        <v>377</v>
      </c>
      <c r="Y12" s="7" t="s">
        <v>68</v>
      </c>
      <c r="Z12" s="16" t="n">
        <f aca="false">IF(OR(W12="",W8=""),"",W12/W8-1)</f>
        <v>1.15823817292007</v>
      </c>
      <c r="AD12" s="16" t="str">
        <f aca="false">IF(OR(AA12="",AA8=""),"",AA12/AA8-1)</f>
        <v/>
      </c>
      <c r="AH12" s="16" t="str">
        <f aca="false">IF(OR(AE12="",AE8=""),"",AE12/AE8-1)</f>
        <v/>
      </c>
      <c r="AU12" s="10" t="s">
        <v>378</v>
      </c>
    </row>
    <row r="13" customFormat="false" ht="15" hidden="false" customHeight="false" outlineLevel="0" collapsed="false">
      <c r="A13" s="10" t="s">
        <v>78</v>
      </c>
      <c r="B13" s="15" t="n">
        <v>149921</v>
      </c>
      <c r="C13" s="7" t="s">
        <v>80</v>
      </c>
      <c r="D13" s="7" t="s">
        <v>81</v>
      </c>
      <c r="E13" s="16" t="n">
        <f aca="false">IF(OR(B13="",B9=""),"",B13/B9-1)</f>
        <v>0.569114030038202</v>
      </c>
      <c r="F13" s="16" t="n">
        <f aca="false">IF(OR(B13="",B12=""),"",B13/B12-1)</f>
        <v>0.0951692197555756</v>
      </c>
      <c r="G13" s="18" t="n">
        <v>1.21</v>
      </c>
      <c r="H13" s="7" t="s">
        <v>379</v>
      </c>
      <c r="I13" s="7" t="s">
        <v>380</v>
      </c>
      <c r="J13" s="18" t="n">
        <v>1.3</v>
      </c>
      <c r="K13" s="7" t="s">
        <v>381</v>
      </c>
      <c r="L13" s="7" t="s">
        <v>380</v>
      </c>
      <c r="M13" s="18" t="n">
        <v>1.37</v>
      </c>
      <c r="N13" s="7" t="s">
        <v>382</v>
      </c>
      <c r="O13" s="7" t="s">
        <v>380</v>
      </c>
      <c r="P13" s="18" t="n">
        <v>1.35</v>
      </c>
      <c r="Q13" s="7" t="s">
        <v>383</v>
      </c>
      <c r="R13" s="7" t="s">
        <v>380</v>
      </c>
      <c r="V13" s="16" t="str">
        <f aca="false">IF(OR(S13="",S9=""),"",S13/S9-1)</f>
        <v/>
      </c>
      <c r="W13" s="19" t="n">
        <v>1474</v>
      </c>
      <c r="X13" s="7" t="s">
        <v>384</v>
      </c>
      <c r="Y13" s="7" t="s">
        <v>81</v>
      </c>
      <c r="Z13" s="16" t="n">
        <f aca="false">IF(OR(W13="",W9=""),"",W13/W9-1)</f>
        <v>0.858764186633039</v>
      </c>
      <c r="AA13" s="19" t="n">
        <v>527</v>
      </c>
      <c r="AB13" s="7" t="s">
        <v>385</v>
      </c>
      <c r="AC13" s="7" t="s">
        <v>101</v>
      </c>
      <c r="AD13" s="16" t="str">
        <f aca="false">IF(OR(AA13="",AA9=""),"",AA13/AA9-1)</f>
        <v/>
      </c>
      <c r="AH13" s="16" t="str">
        <f aca="false">IF(OR(AE13="",AE9=""),"",AE13/AE9-1)</f>
        <v/>
      </c>
      <c r="AU13" s="10" t="s">
        <v>386</v>
      </c>
    </row>
    <row r="14" customFormat="false" ht="15" hidden="false" customHeight="false" outlineLevel="0" collapsed="false">
      <c r="A14" s="10" t="s">
        <v>83</v>
      </c>
      <c r="B14" s="15" t="n">
        <v>162256</v>
      </c>
      <c r="C14" s="7" t="s">
        <v>85</v>
      </c>
      <c r="D14" s="7" t="s">
        <v>86</v>
      </c>
      <c r="E14" s="16" t="n">
        <f aca="false">IF(OR(B14="",B10=""),"",B14/B10-1)</f>
        <v>0.495488354516715</v>
      </c>
      <c r="F14" s="16" t="n">
        <f aca="false">IF(OR(B14="",B13=""),"",B14/B13-1)</f>
        <v>0.0822766657106075</v>
      </c>
      <c r="G14" s="18" t="n">
        <v>1.15</v>
      </c>
      <c r="H14" s="7" t="s">
        <v>387</v>
      </c>
      <c r="I14" s="7" t="s">
        <v>86</v>
      </c>
      <c r="J14" s="18" t="n">
        <v>1.25</v>
      </c>
      <c r="K14" s="7" t="s">
        <v>388</v>
      </c>
      <c r="L14" s="7" t="s">
        <v>86</v>
      </c>
      <c r="M14" s="18" t="n">
        <v>1.25</v>
      </c>
      <c r="N14" s="7" t="s">
        <v>389</v>
      </c>
      <c r="O14" s="7" t="s">
        <v>86</v>
      </c>
      <c r="S14" s="19" t="n">
        <v>47228</v>
      </c>
      <c r="T14" s="7" t="s">
        <v>390</v>
      </c>
      <c r="U14" s="7" t="s">
        <v>106</v>
      </c>
      <c r="V14" s="16" t="str">
        <f aca="false">IF(OR(S14="",S10=""),"",S14/S10-1)</f>
        <v/>
      </c>
      <c r="W14" s="19" t="n">
        <v>1683</v>
      </c>
      <c r="X14" s="7" t="s">
        <v>391</v>
      </c>
      <c r="Y14" s="7" t="s">
        <v>86</v>
      </c>
      <c r="Z14" s="16" t="n">
        <f aca="false">IF(OR(W14="",W10=""),"",W14/W10-1)</f>
        <v>0.753125</v>
      </c>
      <c r="AA14" s="19" t="n">
        <v>588</v>
      </c>
      <c r="AB14" s="7" t="s">
        <v>392</v>
      </c>
      <c r="AC14" s="7" t="s">
        <v>106</v>
      </c>
      <c r="AD14" s="16" t="str">
        <f aca="false">IF(OR(AA14="",AA10=""),"",AA14/AA10-1)</f>
        <v/>
      </c>
      <c r="AH14" s="16" t="str">
        <f aca="false">IF(OR(AE14="",AE10=""),"",AE14/AE10-1)</f>
        <v/>
      </c>
      <c r="AU14" s="10" t="s">
        <v>393</v>
      </c>
    </row>
    <row r="15" customFormat="false" ht="15" hidden="false" customHeight="false" outlineLevel="0" collapsed="false">
      <c r="A15" s="10" t="s">
        <v>88</v>
      </c>
      <c r="B15" s="15" t="n">
        <v>175679</v>
      </c>
      <c r="C15" s="7" t="s">
        <v>90</v>
      </c>
      <c r="D15" s="7" t="s">
        <v>91</v>
      </c>
      <c r="E15" s="16" t="n">
        <f aca="false">IF(OR(B15="",B11=""),"",B15/B11-1)</f>
        <v>0.419995473577006</v>
      </c>
      <c r="F15" s="16" t="n">
        <f aca="false">IF(OR(B15="",B14=""),"",B15/B14-1)</f>
        <v>0.0827272951385465</v>
      </c>
      <c r="G15" s="18" t="n">
        <v>1.1</v>
      </c>
      <c r="H15" s="7" t="s">
        <v>394</v>
      </c>
      <c r="I15" s="7" t="s">
        <v>91</v>
      </c>
      <c r="J15" s="18" t="n">
        <v>1.2</v>
      </c>
      <c r="K15" s="7" t="s">
        <v>395</v>
      </c>
      <c r="L15" s="7" t="s">
        <v>91</v>
      </c>
      <c r="M15" s="18" t="n">
        <v>1.2</v>
      </c>
      <c r="N15" s="7" t="s">
        <v>396</v>
      </c>
      <c r="O15" s="7" t="s">
        <v>91</v>
      </c>
      <c r="S15" s="19" t="n">
        <v>49936</v>
      </c>
      <c r="T15" s="7" t="s">
        <v>397</v>
      </c>
      <c r="U15" s="7" t="s">
        <v>111</v>
      </c>
      <c r="V15" s="16" t="str">
        <f aca="false">IF(OR(S15="",S11=""),"",S15/S11-1)</f>
        <v/>
      </c>
      <c r="W15" s="19" t="n">
        <v>1892</v>
      </c>
      <c r="X15" s="7" t="s">
        <v>398</v>
      </c>
      <c r="Y15" s="7" t="s">
        <v>91</v>
      </c>
      <c r="Z15" s="16" t="n">
        <f aca="false">IF(OR(W15="",W11=""),"",W15/W11-1)</f>
        <v>0.631034482758621</v>
      </c>
      <c r="AA15" s="19" t="n">
        <v>677</v>
      </c>
      <c r="AB15" s="7" t="s">
        <v>399</v>
      </c>
      <c r="AC15" s="7" t="s">
        <v>111</v>
      </c>
      <c r="AD15" s="16" t="str">
        <f aca="false">IF(OR(AA15="",AA11=""),"",AA15/AA11-1)</f>
        <v/>
      </c>
      <c r="AH15" s="16" t="str">
        <f aca="false">IF(OR(AE15="",AE11=""),"",AE15/AE11-1)</f>
        <v/>
      </c>
      <c r="AU15" s="10" t="s">
        <v>400</v>
      </c>
    </row>
    <row r="16" customFormat="false" ht="15" hidden="false" customHeight="false" outlineLevel="0" collapsed="false">
      <c r="A16" s="10" t="s">
        <v>93</v>
      </c>
      <c r="B16" s="15" t="n">
        <v>189190</v>
      </c>
      <c r="C16" s="7" t="s">
        <v>95</v>
      </c>
      <c r="D16" s="7" t="s">
        <v>96</v>
      </c>
      <c r="E16" s="16" t="n">
        <f aca="false">IF(OR(B16="",B12=""),"",B16/B12-1)</f>
        <v>0.382028299474772</v>
      </c>
      <c r="F16" s="16" t="n">
        <f aca="false">IF(OR(B16="",B15=""),"",B16/B15-1)</f>
        <v>0.0769073139077523</v>
      </c>
      <c r="G16" s="18" t="n">
        <v>1.1</v>
      </c>
      <c r="H16" s="7" t="s">
        <v>401</v>
      </c>
      <c r="I16" s="7" t="s">
        <v>96</v>
      </c>
      <c r="J16" s="18" t="n">
        <v>1.15</v>
      </c>
      <c r="K16" s="7" t="s">
        <v>402</v>
      </c>
      <c r="L16" s="7" t="s">
        <v>96</v>
      </c>
      <c r="M16" s="18" t="n">
        <v>1.15</v>
      </c>
      <c r="N16" s="7" t="s">
        <v>403</v>
      </c>
      <c r="O16" s="7" t="s">
        <v>96</v>
      </c>
      <c r="S16" s="19" t="n">
        <v>52015</v>
      </c>
      <c r="T16" s="7" t="s">
        <v>404</v>
      </c>
      <c r="U16" s="7" t="s">
        <v>116</v>
      </c>
      <c r="V16" s="16" t="str">
        <f aca="false">IF(OR(S16="",S12=""),"",S16/S12-1)</f>
        <v/>
      </c>
      <c r="W16" s="19" t="n">
        <v>2077</v>
      </c>
      <c r="X16" s="7" t="s">
        <v>405</v>
      </c>
      <c r="Y16" s="7" t="s">
        <v>96</v>
      </c>
      <c r="Z16" s="16" t="n">
        <f aca="false">IF(OR(W16="",W12=""),"",W16/W12-1)</f>
        <v>0.569916855631141</v>
      </c>
      <c r="AA16" s="19" t="n">
        <v>749</v>
      </c>
      <c r="AB16" s="7" t="s">
        <v>406</v>
      </c>
      <c r="AC16" s="7" t="s">
        <v>116</v>
      </c>
      <c r="AD16" s="16" t="str">
        <f aca="false">IF(OR(AA16="",AA12=""),"",AA16/AA12-1)</f>
        <v/>
      </c>
      <c r="AH16" s="16" t="str">
        <f aca="false">IF(OR(AE16="",AE12=""),"",AE16/AE12-1)</f>
        <v/>
      </c>
      <c r="AU16" s="10" t="s">
        <v>407</v>
      </c>
    </row>
    <row r="17" customFormat="false" ht="15" hidden="false" customHeight="false" outlineLevel="0" collapsed="false">
      <c r="A17" s="10" t="s">
        <v>98</v>
      </c>
      <c r="B17" s="15" t="n">
        <v>202570</v>
      </c>
      <c r="C17" s="7" t="s">
        <v>100</v>
      </c>
      <c r="D17" s="7" t="s">
        <v>101</v>
      </c>
      <c r="E17" s="16" t="n">
        <f aca="false">IF(OR(B17="",B13=""),"",B17/B13-1)</f>
        <v>0.351178287231275</v>
      </c>
      <c r="F17" s="16" t="n">
        <f aca="false">IF(OR(B17="",B16=""),"",B17/B16-1)</f>
        <v>0.0707225540461969</v>
      </c>
      <c r="G17" s="18" t="n">
        <v>1.1</v>
      </c>
      <c r="H17" s="7" t="s">
        <v>408</v>
      </c>
      <c r="I17" s="7" t="s">
        <v>101</v>
      </c>
      <c r="J17" s="18" t="n">
        <v>1.15</v>
      </c>
      <c r="K17" s="7" t="s">
        <v>409</v>
      </c>
      <c r="L17" s="7" t="s">
        <v>101</v>
      </c>
      <c r="M17" s="18" t="n">
        <v>1.15</v>
      </c>
      <c r="N17" s="7" t="s">
        <v>410</v>
      </c>
      <c r="O17" s="7" t="s">
        <v>101</v>
      </c>
      <c r="P17" s="18" t="n">
        <v>1.14</v>
      </c>
      <c r="Q17" s="7" t="s">
        <v>411</v>
      </c>
      <c r="R17" s="7" t="s">
        <v>101</v>
      </c>
      <c r="S17" s="19" t="n">
        <v>53688</v>
      </c>
      <c r="T17" s="7" t="s">
        <v>412</v>
      </c>
      <c r="U17" s="7" t="s">
        <v>120</v>
      </c>
      <c r="V17" s="16" t="str">
        <f aca="false">IF(OR(S17="",S13=""),"",S17/S13-1)</f>
        <v/>
      </c>
      <c r="W17" s="19" t="n">
        <v>2295</v>
      </c>
      <c r="X17" s="7" t="s">
        <v>413</v>
      </c>
      <c r="Y17" s="7" t="s">
        <v>101</v>
      </c>
      <c r="Z17" s="16" t="n">
        <f aca="false">IF(OR(W17="",W13=""),"",W17/W13-1)</f>
        <v>0.556987788331072</v>
      </c>
      <c r="AA17" s="19" t="n">
        <v>833</v>
      </c>
      <c r="AB17" s="7" t="s">
        <v>414</v>
      </c>
      <c r="AC17" s="7" t="s">
        <v>101</v>
      </c>
      <c r="AD17" s="16" t="n">
        <f aca="false">IF(OR(AA17="",AA13=""),"",AA17/AA13-1)</f>
        <v>0.580645161290323</v>
      </c>
      <c r="AH17" s="16" t="str">
        <f aca="false">IF(OR(AE17="",AE13=""),"",AE17/AE13-1)</f>
        <v/>
      </c>
      <c r="AU17" s="10" t="s">
        <v>415</v>
      </c>
    </row>
    <row r="18" customFormat="false" ht="15" hidden="false" customHeight="false" outlineLevel="0" collapsed="false">
      <c r="A18" s="10" t="s">
        <v>103</v>
      </c>
      <c r="B18" s="15" t="n">
        <v>216913</v>
      </c>
      <c r="C18" s="7" t="s">
        <v>105</v>
      </c>
      <c r="D18" s="7" t="s">
        <v>106</v>
      </c>
      <c r="E18" s="16" t="n">
        <f aca="false">IF(OR(B18="",B14=""),"",B18/B14-1)</f>
        <v>0.336856572330145</v>
      </c>
      <c r="F18" s="16" t="n">
        <f aca="false">IF(OR(B18="",B17=""),"",B18/B17-1)</f>
        <v>0.070805153774004</v>
      </c>
      <c r="G18" s="18" t="n">
        <v>1.1</v>
      </c>
      <c r="H18" s="7" t="s">
        <v>416</v>
      </c>
      <c r="I18" s="7" t="s">
        <v>106</v>
      </c>
      <c r="J18" s="18" t="n">
        <v>1.14</v>
      </c>
      <c r="K18" s="7" t="s">
        <v>417</v>
      </c>
      <c r="L18" s="7" t="s">
        <v>106</v>
      </c>
      <c r="M18" s="18" t="n">
        <v>1.14</v>
      </c>
      <c r="N18" s="7" t="s">
        <v>418</v>
      </c>
      <c r="O18" s="7" t="s">
        <v>106</v>
      </c>
      <c r="P18" s="18" t="n">
        <v>1.13</v>
      </c>
      <c r="Q18" s="7" t="s">
        <v>419</v>
      </c>
      <c r="R18" s="7" t="s">
        <v>106</v>
      </c>
      <c r="S18" s="19" t="n">
        <v>55515</v>
      </c>
      <c r="T18" s="7" t="s">
        <v>420</v>
      </c>
      <c r="U18" s="7" t="s">
        <v>106</v>
      </c>
      <c r="V18" s="16" t="n">
        <f aca="false">IF(OR(S18="",S14=""),"",S18/S14-1)</f>
        <v>0.175467942745829</v>
      </c>
      <c r="W18" s="19" t="n">
        <v>2491</v>
      </c>
      <c r="X18" s="7" t="s">
        <v>421</v>
      </c>
      <c r="Y18" s="7" t="s">
        <v>106</v>
      </c>
      <c r="Z18" s="16" t="n">
        <f aca="false">IF(OR(W18="",W14=""),"",W18/W14-1)</f>
        <v>0.480095068330362</v>
      </c>
      <c r="AA18" s="19" t="n">
        <v>911</v>
      </c>
      <c r="AB18" s="7" t="s">
        <v>422</v>
      </c>
      <c r="AC18" s="7" t="s">
        <v>106</v>
      </c>
      <c r="AD18" s="16" t="n">
        <f aca="false">IF(OR(AA18="",AA14=""),"",AA18/AA14-1)</f>
        <v>0.549319727891157</v>
      </c>
      <c r="AH18" s="16" t="str">
        <f aca="false">IF(OR(AE18="",AE14=""),"",AE18/AE14-1)</f>
        <v/>
      </c>
      <c r="AU18" s="10" t="s">
        <v>423</v>
      </c>
    </row>
    <row r="19" customFormat="false" ht="15" hidden="false" customHeight="false" outlineLevel="0" collapsed="false">
      <c r="A19" s="10" t="s">
        <v>108</v>
      </c>
      <c r="B19" s="15" t="n">
        <v>236106</v>
      </c>
      <c r="C19" s="7" t="s">
        <v>110</v>
      </c>
      <c r="D19" s="7" t="s">
        <v>111</v>
      </c>
      <c r="E19" s="16" t="n">
        <f aca="false">IF(OR(B19="",B15=""),"",B19/B15-1)</f>
        <v>0.343962568092942</v>
      </c>
      <c r="F19" s="16" t="n">
        <f aca="false">IF(OR(B19="",B18=""),"",B19/B18-1)</f>
        <v>0.0884824791506271</v>
      </c>
      <c r="G19" s="18" t="n">
        <v>1.1</v>
      </c>
      <c r="H19" s="7" t="s">
        <v>424</v>
      </c>
      <c r="I19" s="7" t="s">
        <v>111</v>
      </c>
      <c r="J19" s="18" t="n">
        <v>1.14</v>
      </c>
      <c r="K19" s="7" t="s">
        <v>425</v>
      </c>
      <c r="L19" s="7" t="s">
        <v>111</v>
      </c>
      <c r="M19" s="18" t="n">
        <v>1.14</v>
      </c>
      <c r="N19" s="7" t="s">
        <v>426</v>
      </c>
      <c r="O19" s="7" t="s">
        <v>111</v>
      </c>
      <c r="P19" s="18" t="n">
        <v>1.14</v>
      </c>
      <c r="Q19" s="7" t="s">
        <v>427</v>
      </c>
      <c r="R19" s="7" t="s">
        <v>111</v>
      </c>
      <c r="S19" s="19" t="n">
        <v>57203</v>
      </c>
      <c r="T19" s="7" t="s">
        <v>428</v>
      </c>
      <c r="U19" s="7" t="s">
        <v>111</v>
      </c>
      <c r="V19" s="16" t="n">
        <f aca="false">IF(OR(S19="",S15=""),"",S19/S15-1)</f>
        <v>0.145526273630247</v>
      </c>
      <c r="W19" s="19" t="n">
        <v>2713</v>
      </c>
      <c r="X19" s="7" t="s">
        <v>429</v>
      </c>
      <c r="Y19" s="7" t="s">
        <v>111</v>
      </c>
      <c r="Z19" s="16" t="n">
        <f aca="false">IF(OR(W19="",W15=""),"",W19/W15-1)</f>
        <v>0.433932346723045</v>
      </c>
      <c r="AA19" s="19" t="n">
        <v>1009</v>
      </c>
      <c r="AB19" s="7" t="s">
        <v>430</v>
      </c>
      <c r="AC19" s="7" t="s">
        <v>111</v>
      </c>
      <c r="AD19" s="16" t="n">
        <f aca="false">IF(OR(AA19="",AA15=""),"",AA19/AA15-1)</f>
        <v>0.490398818316101</v>
      </c>
      <c r="AH19" s="16" t="str">
        <f aca="false">IF(OR(AE19="",AE15=""),"",AE19/AE15-1)</f>
        <v/>
      </c>
      <c r="AU19" s="10" t="s">
        <v>423</v>
      </c>
    </row>
    <row r="20" customFormat="false" ht="15" hidden="false" customHeight="false" outlineLevel="0" collapsed="false">
      <c r="A20" s="10" t="s">
        <v>113</v>
      </c>
      <c r="B20" s="15" t="n">
        <v>251000</v>
      </c>
      <c r="C20" s="7" t="s">
        <v>115</v>
      </c>
      <c r="D20" s="7" t="s">
        <v>116</v>
      </c>
      <c r="E20" s="16" t="n">
        <f aca="false">IF(OR(B20="",B16=""),"",B20/B16-1)</f>
        <v>0.326708599820287</v>
      </c>
      <c r="F20" s="16" t="n">
        <f aca="false">IF(OR(B20="",B19=""),"",B20/B19-1)</f>
        <v>0.0630818361244525</v>
      </c>
      <c r="G20" s="18" t="n">
        <v>1.11</v>
      </c>
      <c r="H20" s="7" t="s">
        <v>431</v>
      </c>
      <c r="I20" s="7" t="s">
        <v>116</v>
      </c>
      <c r="J20" s="18" t="n">
        <v>1.14</v>
      </c>
      <c r="K20" s="7" t="s">
        <v>432</v>
      </c>
      <c r="L20" s="7" t="s">
        <v>116</v>
      </c>
      <c r="M20" s="18" t="n">
        <v>1.15</v>
      </c>
      <c r="N20" s="7" t="s">
        <v>433</v>
      </c>
      <c r="O20" s="7" t="s">
        <v>116</v>
      </c>
      <c r="P20" s="18" t="n">
        <v>1.15</v>
      </c>
      <c r="Q20" s="7" t="s">
        <v>434</v>
      </c>
      <c r="R20" s="7" t="s">
        <v>116</v>
      </c>
      <c r="S20" s="19" t="n">
        <v>58760</v>
      </c>
      <c r="T20" s="7" t="s">
        <v>435</v>
      </c>
      <c r="U20" s="7" t="s">
        <v>116</v>
      </c>
      <c r="V20" s="16" t="n">
        <f aca="false">IF(OR(S20="",S16=""),"",S20/S16-1)</f>
        <v>0.12967413246179</v>
      </c>
      <c r="W20" s="19" t="n">
        <v>2907</v>
      </c>
      <c r="X20" s="7" t="s">
        <v>436</v>
      </c>
      <c r="Y20" s="7" t="s">
        <v>116</v>
      </c>
      <c r="Z20" s="16" t="n">
        <f aca="false">IF(OR(W20="",W16=""),"",W20/W16-1)</f>
        <v>0.399614829080404</v>
      </c>
      <c r="AA20" s="19" t="n">
        <v>1080</v>
      </c>
      <c r="AB20" s="7" t="s">
        <v>437</v>
      </c>
      <c r="AC20" s="7" t="s">
        <v>116</v>
      </c>
      <c r="AD20" s="16" t="n">
        <f aca="false">IF(OR(AA20="",AA16=""),"",AA20/AA16-1)</f>
        <v>0.441922563417891</v>
      </c>
      <c r="AE20" s="19" t="n">
        <v>45</v>
      </c>
      <c r="AF20" s="7" t="s">
        <v>438</v>
      </c>
      <c r="AG20" s="7" t="s">
        <v>132</v>
      </c>
      <c r="AH20" s="16" t="str">
        <f aca="false">IF(OR(AE20="",AE16=""),"",AE20/AE16-1)</f>
        <v/>
      </c>
      <c r="AI20" s="18" t="n">
        <v>0.79</v>
      </c>
      <c r="AJ20" s="7" t="s">
        <v>439</v>
      </c>
      <c r="AK20" s="7" t="s">
        <v>132</v>
      </c>
      <c r="AL20" s="18" t="n">
        <v>0.34</v>
      </c>
      <c r="AM20" s="7" t="s">
        <v>440</v>
      </c>
      <c r="AN20" s="7" t="s">
        <v>132</v>
      </c>
      <c r="AO20" s="18" t="n">
        <v>0.22</v>
      </c>
      <c r="AP20" s="7" t="s">
        <v>441</v>
      </c>
      <c r="AQ20" s="7" t="s">
        <v>132</v>
      </c>
      <c r="AR20" s="18" t="n">
        <v>0.04</v>
      </c>
      <c r="AS20" s="7" t="s">
        <v>442</v>
      </c>
      <c r="AT20" s="7" t="s">
        <v>132</v>
      </c>
      <c r="AU20" s="10" t="s">
        <v>423</v>
      </c>
    </row>
    <row r="21" customFormat="false" ht="15" hidden="false" customHeight="false" outlineLevel="0" collapsed="false">
      <c r="A21" s="10" t="s">
        <v>117</v>
      </c>
      <c r="B21" s="15" t="n">
        <v>267976</v>
      </c>
      <c r="C21" s="7" t="s">
        <v>119</v>
      </c>
      <c r="D21" s="7" t="s">
        <v>120</v>
      </c>
      <c r="E21" s="16" t="n">
        <f aca="false">IF(OR(B21="",B17=""),"",B21/B17-1)</f>
        <v>0.322880979414523</v>
      </c>
      <c r="F21" s="16" t="n">
        <f aca="false">IF(OR(B21="",B20=""),"",B21/B20-1)</f>
        <v>0.0676334661354581</v>
      </c>
      <c r="G21" s="18" t="n">
        <v>1.12</v>
      </c>
      <c r="H21" s="7" t="s">
        <v>443</v>
      </c>
      <c r="I21" s="7" t="s">
        <v>120</v>
      </c>
      <c r="J21" s="18" t="n">
        <v>1.15</v>
      </c>
      <c r="K21" s="7" t="s">
        <v>444</v>
      </c>
      <c r="L21" s="7" t="s">
        <v>120</v>
      </c>
      <c r="M21" s="18" t="n">
        <v>1.15</v>
      </c>
      <c r="N21" s="7" t="s">
        <v>445</v>
      </c>
      <c r="O21" s="7" t="s">
        <v>120</v>
      </c>
      <c r="P21" s="18" t="n">
        <v>1.16</v>
      </c>
      <c r="Q21" s="7" t="s">
        <v>446</v>
      </c>
      <c r="R21" s="7" t="s">
        <v>120</v>
      </c>
      <c r="S21" s="19" t="n">
        <v>59214</v>
      </c>
      <c r="T21" s="7" t="s">
        <v>447</v>
      </c>
      <c r="U21" s="7" t="s">
        <v>120</v>
      </c>
      <c r="V21" s="16" t="n">
        <f aca="false">IF(OR(S21="",S17=""),"",S21/S17-1)</f>
        <v>0.102928028609745</v>
      </c>
      <c r="W21" s="19" t="n">
        <v>3201</v>
      </c>
      <c r="X21" s="7" t="s">
        <v>448</v>
      </c>
      <c r="Y21" s="7" t="s">
        <v>120</v>
      </c>
      <c r="Z21" s="16" t="n">
        <f aca="false">IF(OR(W21="",W17=""),"",W21/W17-1)</f>
        <v>0.394771241830065</v>
      </c>
      <c r="AA21" s="19" t="n">
        <v>1207</v>
      </c>
      <c r="AB21" s="7" t="s">
        <v>449</v>
      </c>
      <c r="AC21" s="7" t="s">
        <v>120</v>
      </c>
      <c r="AD21" s="16" t="n">
        <f aca="false">IF(OR(AA21="",AA17=""),"",AA21/AA17-1)</f>
        <v>0.448979591836735</v>
      </c>
      <c r="AE21" s="19" t="n">
        <v>50</v>
      </c>
      <c r="AF21" s="7" t="s">
        <v>450</v>
      </c>
      <c r="AG21" s="7" t="s">
        <v>136</v>
      </c>
      <c r="AH21" s="16" t="str">
        <f aca="false">IF(OR(AE21="",AE17=""),"",AE21/AE17-1)</f>
        <v/>
      </c>
      <c r="AI21" s="18" t="n">
        <v>0.79</v>
      </c>
      <c r="AJ21" s="7" t="s">
        <v>451</v>
      </c>
      <c r="AK21" s="7" t="s">
        <v>136</v>
      </c>
      <c r="AL21" s="18" t="n">
        <v>0.36</v>
      </c>
      <c r="AM21" s="7" t="s">
        <v>452</v>
      </c>
      <c r="AN21" s="7" t="s">
        <v>136</v>
      </c>
      <c r="AO21" s="18" t="n">
        <v>0.24</v>
      </c>
      <c r="AP21" s="7" t="s">
        <v>453</v>
      </c>
      <c r="AQ21" s="7" t="s">
        <v>136</v>
      </c>
      <c r="AR21" s="18" t="n">
        <v>0.04</v>
      </c>
      <c r="AS21" s="7" t="s">
        <v>454</v>
      </c>
      <c r="AT21" s="7" t="s">
        <v>136</v>
      </c>
      <c r="AU21" s="10" t="s">
        <v>423</v>
      </c>
    </row>
    <row r="22" customFormat="false" ht="15" hidden="false" customHeight="false" outlineLevel="0" collapsed="false">
      <c r="A22" s="10" t="s">
        <v>121</v>
      </c>
      <c r="B22" s="15" t="n">
        <v>282250</v>
      </c>
      <c r="C22" s="7" t="s">
        <v>123</v>
      </c>
      <c r="D22" s="7" t="s">
        <v>124</v>
      </c>
      <c r="E22" s="16" t="n">
        <f aca="false">IF(OR(B22="",B18=""),"",B22/B18-1)</f>
        <v>0.301212928685694</v>
      </c>
      <c r="F22" s="16" t="n">
        <f aca="false">IF(OR(B22="",B21=""),"",B22/B21-1)</f>
        <v>0.0532659641161894</v>
      </c>
      <c r="G22" s="18" t="n">
        <v>1.12</v>
      </c>
      <c r="H22" s="7" t="s">
        <v>455</v>
      </c>
      <c r="I22" s="7" t="s">
        <v>124</v>
      </c>
      <c r="J22" s="18" t="n">
        <v>1.15</v>
      </c>
      <c r="K22" s="7" t="s">
        <v>456</v>
      </c>
      <c r="L22" s="7" t="s">
        <v>124</v>
      </c>
      <c r="M22" s="18" t="n">
        <v>1.16</v>
      </c>
      <c r="N22" s="7" t="s">
        <v>457</v>
      </c>
      <c r="O22" s="7" t="s">
        <v>124</v>
      </c>
      <c r="P22" s="18" t="n">
        <v>1.17</v>
      </c>
      <c r="Q22" s="7" t="s">
        <v>458</v>
      </c>
      <c r="R22" s="7" t="s">
        <v>124</v>
      </c>
      <c r="S22" s="19" t="n">
        <v>60566</v>
      </c>
      <c r="T22" s="7" t="s">
        <v>459</v>
      </c>
      <c r="U22" s="7" t="s">
        <v>124</v>
      </c>
      <c r="V22" s="16" t="n">
        <f aca="false">IF(OR(S22="",S18=""),"",S22/S18-1)</f>
        <v>0.0909844186255966</v>
      </c>
      <c r="W22" s="19" t="n">
        <v>3444</v>
      </c>
      <c r="X22" s="7" t="s">
        <v>460</v>
      </c>
      <c r="Y22" s="7" t="s">
        <v>124</v>
      </c>
      <c r="Z22" s="16" t="n">
        <f aca="false">IF(OR(W22="",W18=""),"",W22/W18-1)</f>
        <v>0.382577278201526</v>
      </c>
      <c r="AA22" s="19" t="n">
        <v>1328</v>
      </c>
      <c r="AB22" s="7" t="s">
        <v>461</v>
      </c>
      <c r="AC22" s="7" t="s">
        <v>124</v>
      </c>
      <c r="AD22" s="16" t="n">
        <f aca="false">IF(OR(AA22="",AA18=""),"",AA22/AA18-1)</f>
        <v>0.457738748627881</v>
      </c>
      <c r="AE22" s="19" t="n">
        <v>57</v>
      </c>
      <c r="AF22" s="7" t="s">
        <v>462</v>
      </c>
      <c r="AG22" s="7" t="s">
        <v>141</v>
      </c>
      <c r="AH22" s="16" t="str">
        <f aca="false">IF(OR(AE22="",AE18=""),"",AE22/AE18-1)</f>
        <v/>
      </c>
      <c r="AI22" s="18" t="n">
        <v>0.8</v>
      </c>
      <c r="AJ22" s="7" t="s">
        <v>463</v>
      </c>
      <c r="AK22" s="7" t="s">
        <v>141</v>
      </c>
      <c r="AL22" s="18" t="n">
        <v>0.37</v>
      </c>
      <c r="AM22" s="7" t="s">
        <v>464</v>
      </c>
      <c r="AN22" s="7" t="s">
        <v>141</v>
      </c>
      <c r="AO22" s="18" t="n">
        <v>0.24</v>
      </c>
      <c r="AP22" s="7" t="s">
        <v>465</v>
      </c>
      <c r="AQ22" s="7" t="s">
        <v>141</v>
      </c>
      <c r="AR22" s="18" t="n">
        <v>0.05</v>
      </c>
      <c r="AS22" s="7" t="s">
        <v>466</v>
      </c>
      <c r="AT22" s="7" t="s">
        <v>141</v>
      </c>
      <c r="AU22" s="10" t="s">
        <v>423</v>
      </c>
    </row>
    <row r="23" customFormat="false" ht="15" hidden="false" customHeight="false" outlineLevel="0" collapsed="false">
      <c r="A23" s="10" t="s">
        <v>125</v>
      </c>
      <c r="B23" s="15" t="n">
        <v>299014</v>
      </c>
      <c r="C23" s="7" t="s">
        <v>127</v>
      </c>
      <c r="D23" s="7" t="s">
        <v>128</v>
      </c>
      <c r="E23" s="16" t="n">
        <f aca="false">IF(OR(B23="",B19=""),"",B23/B19-1)</f>
        <v>0.266439649987717</v>
      </c>
      <c r="F23" s="16" t="n">
        <f aca="false">IF(OR(B23="",B22=""),"",B23/B22-1)</f>
        <v>0.0593941541186891</v>
      </c>
      <c r="G23" s="18" t="n">
        <v>1.11</v>
      </c>
      <c r="H23" s="7" t="s">
        <v>467</v>
      </c>
      <c r="I23" s="7" t="s">
        <v>128</v>
      </c>
      <c r="J23" s="18" t="n">
        <v>1.15</v>
      </c>
      <c r="K23" s="7" t="s">
        <v>468</v>
      </c>
      <c r="L23" s="7" t="s">
        <v>128</v>
      </c>
      <c r="M23" s="18" t="n">
        <v>1.16</v>
      </c>
      <c r="N23" s="7" t="s">
        <v>469</v>
      </c>
      <c r="O23" s="7" t="s">
        <v>128</v>
      </c>
      <c r="P23" s="18" t="n">
        <v>1.17</v>
      </c>
      <c r="Q23" s="7" t="s">
        <v>470</v>
      </c>
      <c r="R23" s="7" t="s">
        <v>128</v>
      </c>
      <c r="S23" s="19" t="n">
        <v>61803</v>
      </c>
      <c r="T23" s="7" t="s">
        <v>471</v>
      </c>
      <c r="U23" s="7" t="s">
        <v>128</v>
      </c>
      <c r="V23" s="16" t="n">
        <f aca="false">IF(OR(S23="",S19=""),"",S23/S19-1)</f>
        <v>0.0804153628306208</v>
      </c>
      <c r="W23" s="19" t="n">
        <v>3702</v>
      </c>
      <c r="X23" s="7" t="s">
        <v>472</v>
      </c>
      <c r="Y23" s="7" t="s">
        <v>128</v>
      </c>
      <c r="Z23" s="16" t="n">
        <f aca="false">IF(OR(W23="",W19=""),"",W23/W19-1)</f>
        <v>0.364541098415039</v>
      </c>
      <c r="AA23" s="19" t="n">
        <v>1472</v>
      </c>
      <c r="AB23" s="7" t="s">
        <v>473</v>
      </c>
      <c r="AC23" s="7" t="s">
        <v>128</v>
      </c>
      <c r="AD23" s="16" t="n">
        <f aca="false">IF(OR(AA23="",AA19=""),"",AA23/AA19-1)</f>
        <v>0.458870168483647</v>
      </c>
      <c r="AE23" s="19" t="n">
        <v>68</v>
      </c>
      <c r="AF23" s="7" t="s">
        <v>474</v>
      </c>
      <c r="AG23" s="7" t="s">
        <v>146</v>
      </c>
      <c r="AH23" s="16" t="str">
        <f aca="false">IF(OR(AE23="",AE19=""),"",AE23/AE19-1)</f>
        <v/>
      </c>
      <c r="AI23" s="18" t="n">
        <v>0.8</v>
      </c>
      <c r="AJ23" s="7" t="s">
        <v>475</v>
      </c>
      <c r="AK23" s="7" t="s">
        <v>146</v>
      </c>
      <c r="AL23" s="18" t="n">
        <v>0.38</v>
      </c>
      <c r="AM23" s="7" t="s">
        <v>476</v>
      </c>
      <c r="AN23" s="7" t="s">
        <v>146</v>
      </c>
      <c r="AO23" s="18" t="n">
        <v>0.26</v>
      </c>
      <c r="AP23" s="7" t="s">
        <v>477</v>
      </c>
      <c r="AQ23" s="7" t="s">
        <v>146</v>
      </c>
      <c r="AR23" s="18" t="n">
        <v>0.05</v>
      </c>
      <c r="AS23" s="7" t="s">
        <v>478</v>
      </c>
      <c r="AT23" s="7" t="s">
        <v>146</v>
      </c>
      <c r="AU23" s="10" t="s">
        <v>423</v>
      </c>
    </row>
    <row r="24" customFormat="false" ht="15" hidden="false" customHeight="false" outlineLevel="0" collapsed="false">
      <c r="A24" s="10" t="s">
        <v>129</v>
      </c>
      <c r="B24" s="15" t="n">
        <v>316855</v>
      </c>
      <c r="C24" s="7" t="s">
        <v>131</v>
      </c>
      <c r="D24" s="7" t="s">
        <v>132</v>
      </c>
      <c r="E24" s="16" t="n">
        <f aca="false">IF(OR(B24="",B20=""),"",B24/B20-1)</f>
        <v>0.262370517928287</v>
      </c>
      <c r="F24" s="16" t="n">
        <f aca="false">IF(OR(B24="",B23=""),"",B24/B23-1)</f>
        <v>0.0596661025905141</v>
      </c>
      <c r="G24" s="18" t="n">
        <v>1.11</v>
      </c>
      <c r="H24" s="7" t="s">
        <v>479</v>
      </c>
      <c r="I24" s="7" t="s">
        <v>132</v>
      </c>
      <c r="J24" s="18" t="n">
        <v>1.15</v>
      </c>
      <c r="K24" s="7" t="s">
        <v>480</v>
      </c>
      <c r="L24" s="7" t="s">
        <v>132</v>
      </c>
      <c r="M24" s="18" t="n">
        <v>1.17</v>
      </c>
      <c r="N24" s="7" t="s">
        <v>481</v>
      </c>
      <c r="O24" s="7" t="s">
        <v>132</v>
      </c>
      <c r="P24" s="18" t="n">
        <v>1.17</v>
      </c>
      <c r="Q24" s="7" t="s">
        <v>482</v>
      </c>
      <c r="R24" s="7" t="s">
        <v>132</v>
      </c>
      <c r="S24" s="19" t="n">
        <v>63075</v>
      </c>
      <c r="T24" s="7" t="s">
        <v>483</v>
      </c>
      <c r="U24" s="7" t="s">
        <v>132</v>
      </c>
      <c r="V24" s="16" t="n">
        <f aca="false">IF(OR(S24="",S20=""),"",S24/S20-1)</f>
        <v>0.0734343090537781</v>
      </c>
      <c r="W24" s="19" t="n">
        <v>3993</v>
      </c>
      <c r="X24" s="7" t="s">
        <v>484</v>
      </c>
      <c r="Y24" s="7" t="s">
        <v>132</v>
      </c>
      <c r="Z24" s="16" t="n">
        <f aca="false">IF(OR(W24="",W20=""),"",W24/W20-1)</f>
        <v>0.373581011351909</v>
      </c>
      <c r="AA24" s="19" t="n">
        <v>1603</v>
      </c>
      <c r="AB24" s="7" t="s">
        <v>485</v>
      </c>
      <c r="AC24" s="7" t="s">
        <v>132</v>
      </c>
      <c r="AD24" s="16" t="n">
        <f aca="false">IF(OR(AA24="",AA20=""),"",AA24/AA20-1)</f>
        <v>0.484259259259259</v>
      </c>
      <c r="AE24" s="19" t="n">
        <v>78</v>
      </c>
      <c r="AF24" s="7" t="s">
        <v>486</v>
      </c>
      <c r="AG24" s="7" t="s">
        <v>132</v>
      </c>
      <c r="AH24" s="16" t="n">
        <f aca="false">IF(OR(AE24="",AE20=""),"",AE24/AE20-1)</f>
        <v>0.733333333333333</v>
      </c>
      <c r="AI24" s="18" t="n">
        <v>0.81</v>
      </c>
      <c r="AJ24" s="7" t="s">
        <v>487</v>
      </c>
      <c r="AK24" s="7" t="s">
        <v>132</v>
      </c>
      <c r="AL24" s="18" t="n">
        <v>0.4</v>
      </c>
      <c r="AM24" s="7" t="s">
        <v>488</v>
      </c>
      <c r="AN24" s="7" t="s">
        <v>132</v>
      </c>
      <c r="AO24" s="18" t="n">
        <v>0.27</v>
      </c>
      <c r="AP24" s="7" t="s">
        <v>489</v>
      </c>
      <c r="AQ24" s="7" t="s">
        <v>132</v>
      </c>
      <c r="AR24" s="18" t="n">
        <v>0.06</v>
      </c>
      <c r="AS24" s="7" t="s">
        <v>490</v>
      </c>
      <c r="AT24" s="7" t="s">
        <v>132</v>
      </c>
      <c r="AU24" s="10" t="s">
        <v>491</v>
      </c>
    </row>
    <row r="25" customFormat="false" ht="15" hidden="false" customHeight="false" outlineLevel="0" collapsed="false">
      <c r="A25" s="10" t="s">
        <v>133</v>
      </c>
      <c r="B25" s="15" t="n">
        <v>333878</v>
      </c>
      <c r="C25" s="7" t="s">
        <v>135</v>
      </c>
      <c r="D25" s="7" t="s">
        <v>136</v>
      </c>
      <c r="E25" s="16" t="n">
        <f aca="false">IF(OR(B25="",B21=""),"",B25/B21-1)</f>
        <v>0.24592500820969</v>
      </c>
      <c r="F25" s="16" t="n">
        <f aca="false">IF(OR(B25="",B24=""),"",B25/B24-1)</f>
        <v>0.0537248899338814</v>
      </c>
      <c r="G25" s="18" t="n">
        <v>1.1</v>
      </c>
      <c r="H25" s="7" t="s">
        <v>492</v>
      </c>
      <c r="I25" s="7" t="s">
        <v>136</v>
      </c>
      <c r="J25" s="18" t="n">
        <v>1.14</v>
      </c>
      <c r="K25" s="7" t="s">
        <v>493</v>
      </c>
      <c r="L25" s="7" t="s">
        <v>136</v>
      </c>
      <c r="M25" s="18" t="n">
        <v>1.16</v>
      </c>
      <c r="N25" s="7" t="s">
        <v>494</v>
      </c>
      <c r="O25" s="7" t="s">
        <v>136</v>
      </c>
      <c r="P25" s="18" t="n">
        <v>1.16</v>
      </c>
      <c r="Q25" s="7" t="s">
        <v>495</v>
      </c>
      <c r="R25" s="7" t="s">
        <v>136</v>
      </c>
      <c r="S25" s="19" t="n">
        <v>63914</v>
      </c>
      <c r="T25" s="7" t="s">
        <v>496</v>
      </c>
      <c r="U25" s="7" t="s">
        <v>136</v>
      </c>
      <c r="V25" s="16" t="n">
        <f aca="false">IF(OR(S25="",S21=""),"",S25/S21-1)</f>
        <v>0.0793731212213329</v>
      </c>
      <c r="W25" s="19" t="n">
        <v>4281</v>
      </c>
      <c r="X25" s="7" t="s">
        <v>497</v>
      </c>
      <c r="Y25" s="7" t="s">
        <v>136</v>
      </c>
      <c r="Z25" s="16" t="n">
        <f aca="false">IF(OR(W25="",W21=""),"",W25/W21-1)</f>
        <v>0.337394564198688</v>
      </c>
      <c r="AA25" s="19" t="n">
        <v>1756</v>
      </c>
      <c r="AB25" s="7" t="s">
        <v>498</v>
      </c>
      <c r="AC25" s="7" t="s">
        <v>136</v>
      </c>
      <c r="AD25" s="16" t="n">
        <f aca="false">IF(OR(AA25="",AA21=""),"",AA25/AA21-1)</f>
        <v>0.454846727423364</v>
      </c>
      <c r="AE25" s="19" t="n">
        <v>87</v>
      </c>
      <c r="AF25" s="7" t="s">
        <v>499</v>
      </c>
      <c r="AG25" s="7" t="s">
        <v>136</v>
      </c>
      <c r="AH25" s="16" t="n">
        <f aca="false">IF(OR(AE25="",AE21=""),"",AE25/AE21-1)</f>
        <v>0.74</v>
      </c>
      <c r="AI25" s="18" t="n">
        <v>0.81</v>
      </c>
      <c r="AJ25" s="7" t="s">
        <v>500</v>
      </c>
      <c r="AK25" s="7" t="s">
        <v>136</v>
      </c>
      <c r="AL25" s="18" t="n">
        <v>0.41</v>
      </c>
      <c r="AM25" s="7" t="s">
        <v>501</v>
      </c>
      <c r="AN25" s="7" t="s">
        <v>136</v>
      </c>
      <c r="AO25" s="18" t="n">
        <v>0.28</v>
      </c>
      <c r="AP25" s="7" t="s">
        <v>502</v>
      </c>
      <c r="AQ25" s="7" t="s">
        <v>136</v>
      </c>
      <c r="AR25" s="18" t="n">
        <v>0.06</v>
      </c>
      <c r="AS25" s="7" t="s">
        <v>503</v>
      </c>
      <c r="AT25" s="7" t="s">
        <v>136</v>
      </c>
      <c r="AU25" s="10" t="s">
        <v>504</v>
      </c>
    </row>
    <row r="26" customFormat="false" ht="15" hidden="false" customHeight="false" outlineLevel="0" collapsed="false">
      <c r="A26" s="10" t="s">
        <v>138</v>
      </c>
      <c r="B26" s="15" t="n">
        <v>351265</v>
      </c>
      <c r="C26" s="7" t="s">
        <v>140</v>
      </c>
      <c r="D26" s="7" t="s">
        <v>141</v>
      </c>
      <c r="E26" s="16" t="n">
        <f aca="false">IF(OR(B26="",B22=""),"",B26/B22-1)</f>
        <v>0.244517271922055</v>
      </c>
      <c r="F26" s="16" t="n">
        <f aca="false">IF(OR(B26="",B25=""),"",B26/B25-1)</f>
        <v>0.0520759079663828</v>
      </c>
      <c r="G26" s="18" t="n">
        <v>1.1</v>
      </c>
      <c r="H26" s="7" t="s">
        <v>505</v>
      </c>
      <c r="I26" s="7" t="s">
        <v>141</v>
      </c>
      <c r="J26" s="18" t="n">
        <v>1.14</v>
      </c>
      <c r="K26" s="7" t="s">
        <v>506</v>
      </c>
      <c r="L26" s="7" t="s">
        <v>141</v>
      </c>
      <c r="M26" s="18" t="n">
        <v>1.16</v>
      </c>
      <c r="N26" s="7" t="s">
        <v>507</v>
      </c>
      <c r="O26" s="7" t="s">
        <v>141</v>
      </c>
      <c r="P26" s="18" t="n">
        <v>1.15</v>
      </c>
      <c r="Q26" s="7" t="s">
        <v>508</v>
      </c>
      <c r="R26" s="7" t="s">
        <v>141</v>
      </c>
      <c r="S26" s="19" t="n">
        <v>65016</v>
      </c>
      <c r="T26" s="7" t="s">
        <v>509</v>
      </c>
      <c r="U26" s="7" t="s">
        <v>141</v>
      </c>
      <c r="V26" s="16" t="n">
        <f aca="false">IF(OR(S26="",S22=""),"",S26/S22-1)</f>
        <v>0.0734735660271439</v>
      </c>
      <c r="W26" s="19" t="n">
        <v>4547</v>
      </c>
      <c r="X26" s="7" t="s">
        <v>510</v>
      </c>
      <c r="Y26" s="7" t="s">
        <v>141</v>
      </c>
      <c r="Z26" s="16" t="n">
        <f aca="false">IF(OR(W26="",W22=""),"",W26/W22-1)</f>
        <v>0.320267131242741</v>
      </c>
      <c r="AA26" s="19" t="n">
        <v>1844</v>
      </c>
      <c r="AB26" s="7" t="s">
        <v>511</v>
      </c>
      <c r="AC26" s="7" t="s">
        <v>141</v>
      </c>
      <c r="AD26" s="16" t="n">
        <f aca="false">IF(OR(AA26="",AA22=""),"",AA26/AA22-1)</f>
        <v>0.38855421686747</v>
      </c>
      <c r="AE26" s="19" t="n">
        <v>99</v>
      </c>
      <c r="AF26" s="7" t="s">
        <v>512</v>
      </c>
      <c r="AG26" s="7" t="s">
        <v>141</v>
      </c>
      <c r="AH26" s="16" t="n">
        <f aca="false">IF(OR(AE26="",AE22=""),"",AE26/AE22-1)</f>
        <v>0.736842105263158</v>
      </c>
      <c r="AI26" s="18" t="n">
        <v>0.82</v>
      </c>
      <c r="AJ26" s="7" t="s">
        <v>513</v>
      </c>
      <c r="AK26" s="7" t="s">
        <v>141</v>
      </c>
      <c r="AL26" s="18" t="n">
        <v>0.42</v>
      </c>
      <c r="AM26" s="7" t="s">
        <v>514</v>
      </c>
      <c r="AN26" s="7" t="s">
        <v>141</v>
      </c>
      <c r="AO26" s="18" t="n">
        <v>0.29</v>
      </c>
      <c r="AP26" s="7" t="s">
        <v>515</v>
      </c>
      <c r="AQ26" s="7" t="s">
        <v>141</v>
      </c>
      <c r="AR26" s="18" t="n">
        <v>0.06</v>
      </c>
      <c r="AS26" s="7" t="s">
        <v>516</v>
      </c>
      <c r="AT26" s="7" t="s">
        <v>141</v>
      </c>
      <c r="AU26" s="10" t="s">
        <v>517</v>
      </c>
    </row>
    <row r="27" customFormat="false" ht="15" hidden="false" customHeight="false" outlineLevel="0" collapsed="false">
      <c r="A27" s="10" t="s">
        <v>143</v>
      </c>
      <c r="B27" s="15" t="n">
        <v>364621</v>
      </c>
      <c r="C27" s="7" t="s">
        <v>145</v>
      </c>
      <c r="D27" s="7" t="s">
        <v>146</v>
      </c>
      <c r="E27" s="16" t="n">
        <f aca="false">IF(OR(B27="",B23=""),"",B27/B23-1)</f>
        <v>0.21941113125138</v>
      </c>
      <c r="F27" s="16" t="n">
        <f aca="false">IF(OR(B27="",B26=""),"",B27/B26-1)</f>
        <v>0.0380225755483752</v>
      </c>
      <c r="G27" s="18" t="n">
        <v>1.09</v>
      </c>
      <c r="H27" s="7" t="s">
        <v>518</v>
      </c>
      <c r="I27" s="7" t="s">
        <v>146</v>
      </c>
      <c r="J27" s="18" t="n">
        <v>1.13</v>
      </c>
      <c r="K27" s="7" t="s">
        <v>519</v>
      </c>
      <c r="L27" s="7" t="s">
        <v>146</v>
      </c>
      <c r="M27" s="18" t="n">
        <v>1.15</v>
      </c>
      <c r="N27" s="7" t="s">
        <v>520</v>
      </c>
      <c r="O27" s="7" t="s">
        <v>146</v>
      </c>
      <c r="P27" s="18" t="n">
        <v>1.15</v>
      </c>
      <c r="Q27" s="7" t="s">
        <v>521</v>
      </c>
      <c r="R27" s="7" t="s">
        <v>146</v>
      </c>
      <c r="S27" s="19" t="n">
        <v>65783</v>
      </c>
      <c r="T27" s="7" t="s">
        <v>522</v>
      </c>
      <c r="U27" s="7" t="s">
        <v>146</v>
      </c>
      <c r="V27" s="16" t="n">
        <f aca="false">IF(OR(S27="",S23=""),"",S27/S23-1)</f>
        <v>0.0643981683737036</v>
      </c>
      <c r="W27" s="19" t="n">
        <v>4834</v>
      </c>
      <c r="X27" s="7" t="s">
        <v>523</v>
      </c>
      <c r="Y27" s="7" t="s">
        <v>146</v>
      </c>
      <c r="Z27" s="16" t="n">
        <f aca="false">IF(OR(W27="",W23=""),"",W27/W23-1)</f>
        <v>0.305780659103188</v>
      </c>
      <c r="AA27" s="19" t="n">
        <v>2019</v>
      </c>
      <c r="AB27" s="7" t="s">
        <v>524</v>
      </c>
      <c r="AC27" s="7" t="s">
        <v>146</v>
      </c>
      <c r="AD27" s="16" t="n">
        <f aca="false">IF(OR(AA27="",AA23=""),"",AA27/AA23-1)</f>
        <v>0.371603260869565</v>
      </c>
      <c r="AE27" s="19" t="n">
        <v>114</v>
      </c>
      <c r="AF27" s="7" t="s">
        <v>525</v>
      </c>
      <c r="AG27" s="7" t="s">
        <v>146</v>
      </c>
      <c r="AH27" s="16" t="n">
        <f aca="false">IF(OR(AE27="",AE23=""),"",AE27/AE23-1)</f>
        <v>0.676470588235294</v>
      </c>
      <c r="AI27" s="18" t="n">
        <v>0.82</v>
      </c>
      <c r="AJ27" s="7" t="s">
        <v>526</v>
      </c>
      <c r="AK27" s="7" t="s">
        <v>146</v>
      </c>
      <c r="AL27" s="18" t="n">
        <v>0.43</v>
      </c>
      <c r="AM27" s="7" t="s">
        <v>527</v>
      </c>
      <c r="AN27" s="7" t="s">
        <v>146</v>
      </c>
      <c r="AO27" s="18" t="n">
        <v>0.3</v>
      </c>
      <c r="AP27" s="7" t="s">
        <v>528</v>
      </c>
      <c r="AQ27" s="7" t="s">
        <v>146</v>
      </c>
      <c r="AR27" s="18" t="n">
        <v>0.07</v>
      </c>
      <c r="AS27" s="7" t="s">
        <v>529</v>
      </c>
      <c r="AT27" s="7" t="s">
        <v>146</v>
      </c>
      <c r="AU27" s="10" t="s">
        <v>517</v>
      </c>
    </row>
    <row r="30" customFormat="false" ht="15" hidden="false" customHeight="false" outlineLevel="0" collapsed="false">
      <c r="A30" s="4" t="s">
        <v>530</v>
      </c>
    </row>
    <row r="31" customFormat="false" ht="46.25" hidden="false" customHeight="false" outlineLevel="0" collapsed="false">
      <c r="A31" s="8" t="s">
        <v>25</v>
      </c>
      <c r="B31" s="8" t="s">
        <v>327</v>
      </c>
      <c r="C31" s="8" t="s">
        <v>531</v>
      </c>
      <c r="D31" s="8" t="s">
        <v>532</v>
      </c>
      <c r="E31" s="8" t="s">
        <v>533</v>
      </c>
      <c r="F31" s="8" t="s">
        <v>343</v>
      </c>
    </row>
    <row r="32" customFormat="false" ht="22.35" hidden="false" customHeight="false" outlineLevel="0" collapsed="false">
      <c r="A32" s="9" t="s">
        <v>48</v>
      </c>
      <c r="B32" s="9" t="s">
        <v>52</v>
      </c>
      <c r="C32" s="9" t="s">
        <v>52</v>
      </c>
      <c r="D32" s="9" t="s">
        <v>52</v>
      </c>
      <c r="E32" s="9" t="s">
        <v>52</v>
      </c>
      <c r="F32" s="9" t="s">
        <v>52</v>
      </c>
    </row>
    <row r="33" customFormat="false" ht="15" hidden="false" customHeight="false" outlineLevel="0" collapsed="false">
      <c r="A33" s="10" t="str">
        <f aca="false">A6</f>
        <v>Q1 2021</v>
      </c>
      <c r="B33" s="16" t="str">
        <f aca="false">IF(E6="","",E6)</f>
        <v/>
      </c>
      <c r="C33" s="16" t="str">
        <f aca="false">IF(G6="","",G6)</f>
        <v/>
      </c>
      <c r="D33" s="16" t="str">
        <f aca="false">IF(P6="","",P6)</f>
        <v/>
      </c>
      <c r="E33" s="16" t="str">
        <f aca="false">IF(AD6="","",AD6)</f>
        <v/>
      </c>
      <c r="F33" s="16" t="str">
        <f aca="false">IF(AO6="","",AO6)</f>
        <v/>
      </c>
    </row>
    <row r="34" customFormat="false" ht="15" hidden="false" customHeight="false" outlineLevel="0" collapsed="false">
      <c r="A34" s="10" t="str">
        <f aca="false">A7</f>
        <v>Q2 2021</v>
      </c>
      <c r="B34" s="16" t="str">
        <f aca="false">IF(E7="","",E7)</f>
        <v/>
      </c>
      <c r="C34" s="16" t="str">
        <f aca="false">IF(G7="","",G7)</f>
        <v/>
      </c>
      <c r="D34" s="16" t="str">
        <f aca="false">IF(P7="","",P7)</f>
        <v/>
      </c>
      <c r="E34" s="16" t="str">
        <f aca="false">IF(AD7="","",AD7)</f>
        <v/>
      </c>
      <c r="F34" s="16" t="str">
        <f aca="false">IF(AO7="","",AO7)</f>
        <v/>
      </c>
    </row>
    <row r="35" customFormat="false" ht="15" hidden="false" customHeight="false" outlineLevel="0" collapsed="false">
      <c r="A35" s="10" t="str">
        <f aca="false">A8</f>
        <v>Q3 2021</v>
      </c>
      <c r="B35" s="16" t="str">
        <f aca="false">IF(E8="","",E8)</f>
        <v/>
      </c>
      <c r="C35" s="16" t="str">
        <f aca="false">IF(G8="","",G8)</f>
        <v/>
      </c>
      <c r="D35" s="16" t="str">
        <f aca="false">IF(P8="","",P8)</f>
        <v/>
      </c>
      <c r="E35" s="16" t="str">
        <f aca="false">IF(AD8="","",AD8)</f>
        <v/>
      </c>
      <c r="F35" s="16" t="str">
        <f aca="false">IF(AO8="","",AO8)</f>
        <v/>
      </c>
    </row>
    <row r="36" customFormat="false" ht="15" hidden="false" customHeight="false" outlineLevel="0" collapsed="false">
      <c r="A36" s="10" t="str">
        <f aca="false">A9</f>
        <v>Q4 2021</v>
      </c>
      <c r="B36" s="16" t="str">
        <f aca="false">IF(E9="","",E9)</f>
        <v/>
      </c>
      <c r="C36" s="16" t="n">
        <f aca="false">IF(G9="","",G9)</f>
        <v>1.2</v>
      </c>
      <c r="D36" s="16" t="str">
        <f aca="false">IF(P9="","",P9)</f>
        <v/>
      </c>
      <c r="E36" s="16" t="str">
        <f aca="false">IF(AD9="","",AD9)</f>
        <v/>
      </c>
      <c r="F36" s="16" t="str">
        <f aca="false">IF(AO9="","",AO9)</f>
        <v/>
      </c>
    </row>
    <row r="37" customFormat="false" ht="15" hidden="false" customHeight="false" outlineLevel="0" collapsed="false">
      <c r="A37" s="10" t="str">
        <f aca="false">A10</f>
        <v>Q1 2022</v>
      </c>
      <c r="B37" s="16" t="n">
        <f aca="false">IF(E10="","",E10)</f>
        <v>0.839805331343689</v>
      </c>
      <c r="C37" s="16" t="n">
        <f aca="false">IF(G10="","",G10)</f>
        <v>1.25</v>
      </c>
      <c r="D37" s="16" t="str">
        <f aca="false">IF(P10="","",P10)</f>
        <v/>
      </c>
      <c r="E37" s="16" t="str">
        <f aca="false">IF(AD10="","",AD10)</f>
        <v/>
      </c>
      <c r="F37" s="16" t="str">
        <f aca="false">IF(AO10="","",AO10)</f>
        <v/>
      </c>
    </row>
    <row r="38" customFormat="false" ht="15" hidden="false" customHeight="false" outlineLevel="0" collapsed="false">
      <c r="A38" s="10" t="str">
        <f aca="false">A11</f>
        <v>Q2 2022</v>
      </c>
      <c r="B38" s="16" t="n">
        <f aca="false">IF(E11="","",E11)</f>
        <v>0.752007363874531</v>
      </c>
      <c r="C38" s="16" t="n">
        <f aca="false">IF(G11="","",G11)</f>
        <v>1.25</v>
      </c>
      <c r="D38" s="16" t="str">
        <f aca="false">IF(P11="","",P11)</f>
        <v/>
      </c>
      <c r="E38" s="16" t="str">
        <f aca="false">IF(AD11="","",AD11)</f>
        <v/>
      </c>
      <c r="F38" s="16" t="str">
        <f aca="false">IF(AO11="","",AO11)</f>
        <v/>
      </c>
    </row>
    <row r="39" customFormat="false" ht="15" hidden="false" customHeight="false" outlineLevel="0" collapsed="false">
      <c r="A39" s="10" t="str">
        <f aca="false">A12</f>
        <v>Q3 2022</v>
      </c>
      <c r="B39" s="16" t="n">
        <f aca="false">IF(E12="","",E12)</f>
        <v>0.648955648172686</v>
      </c>
      <c r="C39" s="16" t="n">
        <f aca="false">IF(G12="","",G12)</f>
        <v>1.2</v>
      </c>
      <c r="D39" s="16" t="str">
        <f aca="false">IF(P12="","",P12)</f>
        <v/>
      </c>
      <c r="E39" s="16" t="str">
        <f aca="false">IF(AD12="","",AD12)</f>
        <v/>
      </c>
      <c r="F39" s="16" t="str">
        <f aca="false">IF(AO12="","",AO12)</f>
        <v/>
      </c>
    </row>
    <row r="40" customFormat="false" ht="15" hidden="false" customHeight="false" outlineLevel="0" collapsed="false">
      <c r="A40" s="10" t="str">
        <f aca="false">A13</f>
        <v>Q4 2022</v>
      </c>
      <c r="B40" s="16" t="n">
        <f aca="false">IF(E13="","",E13)</f>
        <v>0.569114030038202</v>
      </c>
      <c r="C40" s="16" t="n">
        <f aca="false">IF(G13="","",G13)</f>
        <v>1.21</v>
      </c>
      <c r="D40" s="16" t="n">
        <f aca="false">IF(P13="","",P13)</f>
        <v>1.35</v>
      </c>
      <c r="E40" s="16" t="str">
        <f aca="false">IF(AD13="","",AD13)</f>
        <v/>
      </c>
      <c r="F40" s="16" t="str">
        <f aca="false">IF(AO13="","",AO13)</f>
        <v/>
      </c>
    </row>
    <row r="41" customFormat="false" ht="15" hidden="false" customHeight="false" outlineLevel="0" collapsed="false">
      <c r="A41" s="10" t="str">
        <f aca="false">A14</f>
        <v>Q1 2023</v>
      </c>
      <c r="B41" s="16" t="n">
        <f aca="false">IF(E14="","",E14)</f>
        <v>0.495488354516715</v>
      </c>
      <c r="C41" s="16" t="n">
        <f aca="false">IF(G14="","",G14)</f>
        <v>1.15</v>
      </c>
      <c r="D41" s="16" t="str">
        <f aca="false">IF(P14="","",P14)</f>
        <v/>
      </c>
      <c r="E41" s="16" t="str">
        <f aca="false">IF(AD14="","",AD14)</f>
        <v/>
      </c>
      <c r="F41" s="16" t="str">
        <f aca="false">IF(AO14="","",AO14)</f>
        <v/>
      </c>
    </row>
    <row r="42" customFormat="false" ht="15" hidden="false" customHeight="false" outlineLevel="0" collapsed="false">
      <c r="A42" s="10" t="str">
        <f aca="false">A15</f>
        <v>Q2 2023</v>
      </c>
      <c r="B42" s="16" t="n">
        <f aca="false">IF(E15="","",E15)</f>
        <v>0.419995473577006</v>
      </c>
      <c r="C42" s="16" t="n">
        <f aca="false">IF(G15="","",G15)</f>
        <v>1.1</v>
      </c>
      <c r="D42" s="16" t="str">
        <f aca="false">IF(P15="","",P15)</f>
        <v/>
      </c>
      <c r="E42" s="16" t="str">
        <f aca="false">IF(AD15="","",AD15)</f>
        <v/>
      </c>
      <c r="F42" s="16" t="str">
        <f aca="false">IF(AO15="","",AO15)</f>
        <v/>
      </c>
    </row>
    <row r="43" customFormat="false" ht="15" hidden="false" customHeight="false" outlineLevel="0" collapsed="false">
      <c r="A43" s="10" t="str">
        <f aca="false">A16</f>
        <v>Q3 2023</v>
      </c>
      <c r="B43" s="16" t="n">
        <f aca="false">IF(E16="","",E16)</f>
        <v>0.382028299474772</v>
      </c>
      <c r="C43" s="16" t="n">
        <f aca="false">IF(G16="","",G16)</f>
        <v>1.1</v>
      </c>
      <c r="D43" s="16" t="str">
        <f aca="false">IF(P16="","",P16)</f>
        <v/>
      </c>
      <c r="E43" s="16" t="str">
        <f aca="false">IF(AD16="","",AD16)</f>
        <v/>
      </c>
      <c r="F43" s="16" t="str">
        <f aca="false">IF(AO16="","",AO16)</f>
        <v/>
      </c>
    </row>
    <row r="44" customFormat="false" ht="15" hidden="false" customHeight="false" outlineLevel="0" collapsed="false">
      <c r="A44" s="10" t="str">
        <f aca="false">A17</f>
        <v>Q4 2023</v>
      </c>
      <c r="B44" s="16" t="n">
        <f aca="false">IF(E17="","",E17)</f>
        <v>0.351178287231275</v>
      </c>
      <c r="C44" s="16" t="n">
        <f aca="false">IF(G17="","",G17)</f>
        <v>1.1</v>
      </c>
      <c r="D44" s="16" t="n">
        <f aca="false">IF(P17="","",P17)</f>
        <v>1.14</v>
      </c>
      <c r="E44" s="16" t="n">
        <f aca="false">IF(AD17="","",AD17)</f>
        <v>0.580645161290323</v>
      </c>
      <c r="F44" s="16" t="str">
        <f aca="false">IF(AO17="","",AO17)</f>
        <v/>
      </c>
    </row>
    <row r="45" customFormat="false" ht="15" hidden="false" customHeight="false" outlineLevel="0" collapsed="false">
      <c r="A45" s="10" t="str">
        <f aca="false">A18</f>
        <v>Q1 2024</v>
      </c>
      <c r="B45" s="16" t="n">
        <f aca="false">IF(E18="","",E18)</f>
        <v>0.336856572330145</v>
      </c>
      <c r="C45" s="16" t="n">
        <f aca="false">IF(G18="","",G18)</f>
        <v>1.1</v>
      </c>
      <c r="D45" s="16" t="n">
        <f aca="false">IF(P18="","",P18)</f>
        <v>1.13</v>
      </c>
      <c r="E45" s="16" t="n">
        <f aca="false">IF(AD18="","",AD18)</f>
        <v>0.549319727891157</v>
      </c>
      <c r="F45" s="16" t="str">
        <f aca="false">IF(AO18="","",AO18)</f>
        <v/>
      </c>
    </row>
    <row r="46" customFormat="false" ht="15" hidden="false" customHeight="false" outlineLevel="0" collapsed="false">
      <c r="A46" s="10" t="str">
        <f aca="false">A19</f>
        <v>Q2 2024</v>
      </c>
      <c r="B46" s="16" t="n">
        <f aca="false">IF(E19="","",E19)</f>
        <v>0.343962568092942</v>
      </c>
      <c r="C46" s="16" t="n">
        <f aca="false">IF(G19="","",G19)</f>
        <v>1.1</v>
      </c>
      <c r="D46" s="16" t="n">
        <f aca="false">IF(P19="","",P19)</f>
        <v>1.14</v>
      </c>
      <c r="E46" s="16" t="n">
        <f aca="false">IF(AD19="","",AD19)</f>
        <v>0.490398818316101</v>
      </c>
      <c r="F46" s="16" t="str">
        <f aca="false">IF(AO19="","",AO19)</f>
        <v/>
      </c>
    </row>
    <row r="47" customFormat="false" ht="15" hidden="false" customHeight="false" outlineLevel="0" collapsed="false">
      <c r="A47" s="10" t="str">
        <f aca="false">A20</f>
        <v>Q3 2024</v>
      </c>
      <c r="B47" s="16" t="n">
        <f aca="false">IF(E20="","",E20)</f>
        <v>0.326708599820287</v>
      </c>
      <c r="C47" s="16" t="n">
        <f aca="false">IF(G20="","",G20)</f>
        <v>1.11</v>
      </c>
      <c r="D47" s="16" t="n">
        <f aca="false">IF(P20="","",P20)</f>
        <v>1.15</v>
      </c>
      <c r="E47" s="16" t="n">
        <f aca="false">IF(AD20="","",AD20)</f>
        <v>0.441922563417891</v>
      </c>
      <c r="F47" s="16" t="n">
        <f aca="false">IF(AO20="","",AO20)</f>
        <v>0.22</v>
      </c>
    </row>
    <row r="48" customFormat="false" ht="15" hidden="false" customHeight="false" outlineLevel="0" collapsed="false">
      <c r="A48" s="10" t="str">
        <f aca="false">A21</f>
        <v>Q4 2024</v>
      </c>
      <c r="B48" s="16" t="n">
        <f aca="false">IF(E21="","",E21)</f>
        <v>0.322880979414523</v>
      </c>
      <c r="C48" s="16" t="n">
        <f aca="false">IF(G21="","",G21)</f>
        <v>1.12</v>
      </c>
      <c r="D48" s="16" t="n">
        <f aca="false">IF(P21="","",P21)</f>
        <v>1.16</v>
      </c>
      <c r="E48" s="16" t="n">
        <f aca="false">IF(AD21="","",AD21)</f>
        <v>0.448979591836735</v>
      </c>
      <c r="F48" s="16" t="n">
        <f aca="false">IF(AO21="","",AO21)</f>
        <v>0.24</v>
      </c>
    </row>
    <row r="49" customFormat="false" ht="15" hidden="false" customHeight="false" outlineLevel="0" collapsed="false">
      <c r="A49" s="10" t="str">
        <f aca="false">A22</f>
        <v>Q1 2025</v>
      </c>
      <c r="B49" s="16" t="n">
        <f aca="false">IF(E22="","",E22)</f>
        <v>0.301212928685694</v>
      </c>
      <c r="C49" s="16" t="n">
        <f aca="false">IF(G22="","",G22)</f>
        <v>1.12</v>
      </c>
      <c r="D49" s="16" t="n">
        <f aca="false">IF(P22="","",P22)</f>
        <v>1.17</v>
      </c>
      <c r="E49" s="16" t="n">
        <f aca="false">IF(AD22="","",AD22)</f>
        <v>0.457738748627881</v>
      </c>
      <c r="F49" s="16" t="n">
        <f aca="false">IF(AO22="","",AO22)</f>
        <v>0.24</v>
      </c>
    </row>
    <row r="50" customFormat="false" ht="15" hidden="false" customHeight="false" outlineLevel="0" collapsed="false">
      <c r="A50" s="10" t="str">
        <f aca="false">A23</f>
        <v>Q2 2025</v>
      </c>
      <c r="B50" s="16" t="n">
        <f aca="false">IF(E23="","",E23)</f>
        <v>0.266439649987717</v>
      </c>
      <c r="C50" s="16" t="n">
        <f aca="false">IF(G23="","",G23)</f>
        <v>1.11</v>
      </c>
      <c r="D50" s="16" t="n">
        <f aca="false">IF(P23="","",P23)</f>
        <v>1.17</v>
      </c>
      <c r="E50" s="16" t="n">
        <f aca="false">IF(AD23="","",AD23)</f>
        <v>0.458870168483647</v>
      </c>
      <c r="F50" s="16" t="n">
        <f aca="false">IF(AO23="","",AO23)</f>
        <v>0.26</v>
      </c>
    </row>
    <row r="51" customFormat="false" ht="15" hidden="false" customHeight="false" outlineLevel="0" collapsed="false">
      <c r="A51" s="10" t="str">
        <f aca="false">A24</f>
        <v>Q3 2025</v>
      </c>
      <c r="B51" s="16" t="n">
        <f aca="false">IF(E24="","",E24)</f>
        <v>0.262370517928287</v>
      </c>
      <c r="C51" s="16" t="n">
        <f aca="false">IF(G24="","",G24)</f>
        <v>1.11</v>
      </c>
      <c r="D51" s="16" t="n">
        <f aca="false">IF(P24="","",P24)</f>
        <v>1.17</v>
      </c>
      <c r="E51" s="16" t="n">
        <f aca="false">IF(AD24="","",AD24)</f>
        <v>0.484259259259259</v>
      </c>
      <c r="F51" s="16" t="n">
        <f aca="false">IF(AO24="","",AO24)</f>
        <v>0.27</v>
      </c>
    </row>
    <row r="52" customFormat="false" ht="15" hidden="false" customHeight="false" outlineLevel="0" collapsed="false">
      <c r="A52" s="10" t="str">
        <f aca="false">A25</f>
        <v>Q4 2025</v>
      </c>
      <c r="B52" s="16" t="n">
        <f aca="false">IF(E25="","",E25)</f>
        <v>0.24592500820969</v>
      </c>
      <c r="C52" s="16" t="n">
        <f aca="false">IF(G25="","",G25)</f>
        <v>1.1</v>
      </c>
      <c r="D52" s="16" t="n">
        <f aca="false">IF(P25="","",P25)</f>
        <v>1.16</v>
      </c>
      <c r="E52" s="16" t="n">
        <f aca="false">IF(AD25="","",AD25)</f>
        <v>0.454846727423364</v>
      </c>
      <c r="F52" s="16" t="n">
        <f aca="false">IF(AO25="","",AO25)</f>
        <v>0.28</v>
      </c>
    </row>
    <row r="53" customFormat="false" ht="15" hidden="false" customHeight="false" outlineLevel="0" collapsed="false">
      <c r="A53" s="10" t="str">
        <f aca="false">A26</f>
        <v>Q1 2026</v>
      </c>
      <c r="B53" s="16" t="n">
        <f aca="false">IF(E26="","",E26)</f>
        <v>0.244517271922055</v>
      </c>
      <c r="C53" s="16" t="n">
        <f aca="false">IF(G26="","",G26)</f>
        <v>1.1</v>
      </c>
      <c r="D53" s="16" t="n">
        <f aca="false">IF(P26="","",P26)</f>
        <v>1.15</v>
      </c>
      <c r="E53" s="16" t="n">
        <f aca="false">IF(AD26="","",AD26)</f>
        <v>0.38855421686747</v>
      </c>
      <c r="F53" s="16" t="n">
        <f aca="false">IF(AO26="","",AO26)</f>
        <v>0.29</v>
      </c>
    </row>
    <row r="54" customFormat="false" ht="15" hidden="false" customHeight="false" outlineLevel="0" collapsed="false">
      <c r="A54" s="10" t="str">
        <f aca="false">A27</f>
        <v>Q2 2026</v>
      </c>
      <c r="B54" s="16" t="n">
        <f aca="false">IF(E27="","",E27)</f>
        <v>0.21941113125138</v>
      </c>
      <c r="C54" s="16" t="n">
        <f aca="false">IF(G27="","",G27)</f>
        <v>1.09</v>
      </c>
      <c r="D54" s="16" t="n">
        <f aca="false">IF(P27="","",P27)</f>
        <v>1.15</v>
      </c>
      <c r="E54" s="16" t="n">
        <f aca="false">IF(AD27="","",AD27)</f>
        <v>0.371603260869565</v>
      </c>
      <c r="F54" s="16" t="n">
        <f aca="false">IF(AO27="","",AO27)</f>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4" min="3" style="0" width="7"/>
    <col collapsed="false" customWidth="true" hidden="false" outlineLevel="0" max="5" min="5" style="0" width="11"/>
    <col collapsed="false" customWidth="true" hidden="false" outlineLevel="0" max="7" min="6" style="0" width="9"/>
    <col collapsed="false" customWidth="true" hidden="false" outlineLevel="0" max="8" min="8" style="0" width="11"/>
    <col collapsed="false" customWidth="true" hidden="false" outlineLevel="0" max="10" min="9" style="0" width="9"/>
    <col collapsed="false" customWidth="true" hidden="false" outlineLevel="0" max="11" min="11" style="0" width="11"/>
    <col collapsed="false" customWidth="true" hidden="false" outlineLevel="0" max="13" min="12" style="0" width="9"/>
    <col collapsed="false" customWidth="true" hidden="false" outlineLevel="0" max="14" min="14" style="0" width="11"/>
    <col collapsed="false" customWidth="true" hidden="false" outlineLevel="0" max="16" min="15" style="0" width="9"/>
    <col collapsed="false" customWidth="true" hidden="false" outlineLevel="0" max="17" min="17" style="0" width="11"/>
    <col collapsed="false" customWidth="true" hidden="false" outlineLevel="0" max="19" min="18" style="0" width="9"/>
    <col collapsed="false" customWidth="true" hidden="false" outlineLevel="0" max="20" min="20" style="0" width="11"/>
    <col collapsed="false" customWidth="true" hidden="false" outlineLevel="0" max="22" min="21" style="0" width="9"/>
    <col collapsed="false" customWidth="true" hidden="false" outlineLevel="0" max="23" min="23" style="0" width="11"/>
    <col collapsed="false" customWidth="true" hidden="false" outlineLevel="0" max="25" min="24" style="0" width="9"/>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9"/>
    <col collapsed="false" customWidth="true" hidden="false" outlineLevel="0" max="32" min="32" style="0" width="11"/>
    <col collapsed="false" customWidth="true" hidden="false" outlineLevel="0" max="34" min="33" style="0" width="9"/>
    <col collapsed="false" customWidth="true" hidden="false" outlineLevel="0" max="35" min="35" style="0" width="11"/>
    <col collapsed="false" customWidth="true" hidden="false" outlineLevel="0" max="47" min="36" style="0" width="9"/>
    <col collapsed="false" customWidth="true" hidden="false" outlineLevel="0" max="52" min="48" style="0" width="11"/>
  </cols>
  <sheetData>
    <row r="1" customFormat="false" ht="16.15" hidden="false" customHeight="false" outlineLevel="0" collapsed="false">
      <c r="A1" s="6" t="s">
        <v>534</v>
      </c>
    </row>
    <row r="2" customFormat="false" ht="15" hidden="false" customHeight="false" outlineLevel="0" collapsed="false">
      <c r="A2" s="7" t="s">
        <v>535</v>
      </c>
    </row>
    <row r="4" customFormat="false" ht="68.65" hidden="false" customHeight="false" outlineLevel="0" collapsed="false">
      <c r="A4" s="8" t="s">
        <v>536</v>
      </c>
      <c r="B4" s="8" t="s">
        <v>537</v>
      </c>
      <c r="C4" s="8" t="s">
        <v>224</v>
      </c>
      <c r="D4" s="8" t="s">
        <v>538</v>
      </c>
      <c r="E4" s="8" t="s">
        <v>325</v>
      </c>
      <c r="F4" s="8" t="s">
        <v>326</v>
      </c>
      <c r="G4" s="8" t="s">
        <v>27</v>
      </c>
      <c r="H4" s="8" t="s">
        <v>539</v>
      </c>
      <c r="I4" s="8" t="s">
        <v>326</v>
      </c>
      <c r="J4" s="8" t="s">
        <v>27</v>
      </c>
      <c r="K4" s="8" t="s">
        <v>540</v>
      </c>
      <c r="L4" s="8" t="s">
        <v>326</v>
      </c>
      <c r="M4" s="8" t="s">
        <v>27</v>
      </c>
      <c r="N4" s="8" t="s">
        <v>541</v>
      </c>
      <c r="O4" s="8" t="s">
        <v>326</v>
      </c>
      <c r="P4" s="8" t="s">
        <v>27</v>
      </c>
      <c r="Q4" s="8" t="s">
        <v>542</v>
      </c>
      <c r="R4" s="8" t="s">
        <v>326</v>
      </c>
      <c r="S4" s="8" t="s">
        <v>27</v>
      </c>
      <c r="T4" s="8" t="s">
        <v>543</v>
      </c>
      <c r="U4" s="8" t="s">
        <v>326</v>
      </c>
      <c r="V4" s="8" t="s">
        <v>27</v>
      </c>
      <c r="W4" s="8" t="s">
        <v>544</v>
      </c>
      <c r="X4" s="8" t="s">
        <v>326</v>
      </c>
      <c r="Y4" s="8" t="s">
        <v>27</v>
      </c>
      <c r="Z4" s="8" t="s">
        <v>545</v>
      </c>
      <c r="AA4" s="8" t="s">
        <v>326</v>
      </c>
      <c r="AB4" s="8" t="s">
        <v>27</v>
      </c>
      <c r="AC4" s="8" t="s">
        <v>546</v>
      </c>
      <c r="AD4" s="8" t="s">
        <v>326</v>
      </c>
      <c r="AE4" s="8" t="s">
        <v>27</v>
      </c>
      <c r="AF4" s="8" t="s">
        <v>547</v>
      </c>
      <c r="AG4" s="8" t="s">
        <v>326</v>
      </c>
      <c r="AH4" s="8" t="s">
        <v>27</v>
      </c>
      <c r="AI4" s="8" t="s">
        <v>548</v>
      </c>
      <c r="AJ4" s="8" t="s">
        <v>326</v>
      </c>
      <c r="AK4" s="8" t="s">
        <v>27</v>
      </c>
      <c r="AL4" s="8" t="s">
        <v>549</v>
      </c>
      <c r="AM4" s="8" t="s">
        <v>550</v>
      </c>
      <c r="AN4" s="8" t="s">
        <v>551</v>
      </c>
      <c r="AO4" s="8" t="s">
        <v>552</v>
      </c>
      <c r="AP4" s="8" t="s">
        <v>553</v>
      </c>
      <c r="AQ4" s="8" t="s">
        <v>554</v>
      </c>
      <c r="AR4" s="8" t="s">
        <v>555</v>
      </c>
      <c r="AS4" s="8" t="s">
        <v>556</v>
      </c>
      <c r="AT4" s="8" t="s">
        <v>557</v>
      </c>
      <c r="AU4" s="8" t="s">
        <v>558</v>
      </c>
      <c r="AV4" s="8" t="s">
        <v>559</v>
      </c>
      <c r="AW4" s="8" t="s">
        <v>560</v>
      </c>
      <c r="AX4" s="8" t="s">
        <v>561</v>
      </c>
      <c r="AY4" s="8" t="s">
        <v>562</v>
      </c>
      <c r="AZ4" s="8" t="s">
        <v>563</v>
      </c>
    </row>
    <row r="5" customFormat="false" ht="32.8" hidden="false" customHeight="false" outlineLevel="0" collapsed="false">
      <c r="A5" s="9" t="s">
        <v>48</v>
      </c>
      <c r="B5" s="9" t="s">
        <v>48</v>
      </c>
      <c r="C5" s="9" t="s">
        <v>48</v>
      </c>
      <c r="D5" s="9" t="s">
        <v>48</v>
      </c>
      <c r="E5" s="9" t="s">
        <v>51</v>
      </c>
      <c r="F5" s="9" t="s">
        <v>49</v>
      </c>
      <c r="G5" s="9" t="s">
        <v>27</v>
      </c>
      <c r="H5" s="9" t="s">
        <v>51</v>
      </c>
      <c r="I5" s="9" t="s">
        <v>49</v>
      </c>
      <c r="J5" s="9" t="s">
        <v>27</v>
      </c>
      <c r="K5" s="9" t="s">
        <v>51</v>
      </c>
      <c r="L5" s="9" t="s">
        <v>49</v>
      </c>
      <c r="M5" s="9" t="s">
        <v>27</v>
      </c>
      <c r="N5" s="9" t="s">
        <v>51</v>
      </c>
      <c r="O5" s="9" t="s">
        <v>49</v>
      </c>
      <c r="P5" s="9" t="s">
        <v>27</v>
      </c>
      <c r="Q5" s="9" t="s">
        <v>51</v>
      </c>
      <c r="R5" s="9" t="s">
        <v>49</v>
      </c>
      <c r="S5" s="9" t="s">
        <v>27</v>
      </c>
      <c r="T5" s="9" t="s">
        <v>51</v>
      </c>
      <c r="U5" s="9" t="s">
        <v>49</v>
      </c>
      <c r="V5" s="9" t="s">
        <v>27</v>
      </c>
      <c r="W5" s="9" t="s">
        <v>51</v>
      </c>
      <c r="X5" s="9" t="s">
        <v>49</v>
      </c>
      <c r="Y5" s="9" t="s">
        <v>27</v>
      </c>
      <c r="Z5" s="9" t="s">
        <v>51</v>
      </c>
      <c r="AA5" s="9" t="s">
        <v>49</v>
      </c>
      <c r="AB5" s="9" t="s">
        <v>27</v>
      </c>
      <c r="AC5" s="9" t="s">
        <v>51</v>
      </c>
      <c r="AD5" s="9" t="s">
        <v>49</v>
      </c>
      <c r="AE5" s="9" t="s">
        <v>27</v>
      </c>
      <c r="AF5" s="9" t="s">
        <v>51</v>
      </c>
      <c r="AG5" s="9" t="s">
        <v>49</v>
      </c>
      <c r="AH5" s="9" t="s">
        <v>27</v>
      </c>
      <c r="AI5" s="9" t="s">
        <v>51</v>
      </c>
      <c r="AJ5" s="9" t="s">
        <v>49</v>
      </c>
      <c r="AK5" s="9" t="s">
        <v>27</v>
      </c>
      <c r="AL5" s="9" t="s">
        <v>52</v>
      </c>
      <c r="AM5" s="9" t="s">
        <v>52</v>
      </c>
      <c r="AN5" s="9" t="s">
        <v>52</v>
      </c>
      <c r="AO5" s="9" t="s">
        <v>52</v>
      </c>
      <c r="AP5" s="9" t="s">
        <v>52</v>
      </c>
      <c r="AQ5" s="9" t="s">
        <v>52</v>
      </c>
      <c r="AR5" s="9" t="s">
        <v>52</v>
      </c>
      <c r="AS5" s="9" t="s">
        <v>52</v>
      </c>
      <c r="AT5" s="9" t="s">
        <v>52</v>
      </c>
      <c r="AU5" s="9" t="s">
        <v>52</v>
      </c>
      <c r="AV5" s="9" t="s">
        <v>52</v>
      </c>
      <c r="AW5" s="9" t="s">
        <v>52</v>
      </c>
      <c r="AX5" s="9" t="s">
        <v>52</v>
      </c>
      <c r="AY5" s="9" t="s">
        <v>52</v>
      </c>
      <c r="AZ5" s="9" t="s">
        <v>52</v>
      </c>
    </row>
    <row r="6" customFormat="false" ht="15" hidden="false" customHeight="false" outlineLevel="0" collapsed="false">
      <c r="A6" s="10" t="s">
        <v>347</v>
      </c>
      <c r="B6" s="10" t="s">
        <v>25</v>
      </c>
      <c r="C6" s="10" t="n">
        <v>2021</v>
      </c>
      <c r="D6" s="10" t="n">
        <v>1</v>
      </c>
      <c r="E6" s="15" t="n">
        <v>58972</v>
      </c>
      <c r="F6" s="7" t="s">
        <v>348</v>
      </c>
      <c r="G6" s="7" t="s">
        <v>66</v>
      </c>
      <c r="H6" s="15" t="n">
        <v>51048</v>
      </c>
      <c r="I6" s="7" t="s">
        <v>564</v>
      </c>
      <c r="J6" s="7" t="s">
        <v>66</v>
      </c>
      <c r="K6" s="15" t="n">
        <v>52579</v>
      </c>
      <c r="L6" s="7" t="s">
        <v>565</v>
      </c>
      <c r="M6" s="7" t="s">
        <v>66</v>
      </c>
      <c r="N6" s="15" t="n">
        <v>15581</v>
      </c>
      <c r="O6" s="7" t="s">
        <v>566</v>
      </c>
      <c r="P6" s="7" t="s">
        <v>66</v>
      </c>
      <c r="Q6" s="15" t="n">
        <v>11044</v>
      </c>
      <c r="R6" s="7" t="s">
        <v>567</v>
      </c>
      <c r="S6" s="7" t="s">
        <v>66</v>
      </c>
      <c r="T6" s="15" t="n">
        <v>63048</v>
      </c>
      <c r="U6" s="7" t="s">
        <v>568</v>
      </c>
      <c r="V6" s="7" t="s">
        <v>66</v>
      </c>
      <c r="W6" s="15" t="n">
        <v>59014</v>
      </c>
      <c r="X6" s="7" t="s">
        <v>569</v>
      </c>
      <c r="Y6" s="7" t="s">
        <v>66</v>
      </c>
      <c r="Z6" s="15" t="n">
        <v>10266</v>
      </c>
      <c r="AA6" s="7" t="s">
        <v>570</v>
      </c>
      <c r="AB6" s="7" t="s">
        <v>66</v>
      </c>
      <c r="AC6" s="15" t="n">
        <v>5828</v>
      </c>
      <c r="AD6" s="7" t="s">
        <v>571</v>
      </c>
      <c r="AE6" s="7" t="s">
        <v>66</v>
      </c>
      <c r="AF6" s="15" t="n">
        <v>-37847</v>
      </c>
      <c r="AG6" s="7" t="s">
        <v>572</v>
      </c>
      <c r="AH6" s="7" t="s">
        <v>66</v>
      </c>
      <c r="AI6" s="15" t="n">
        <v>-23307</v>
      </c>
      <c r="AJ6" s="7" t="s">
        <v>573</v>
      </c>
      <c r="AK6" s="7" t="s">
        <v>66</v>
      </c>
      <c r="AL6" s="16" t="n">
        <f aca="false">H6/E6</f>
        <v>0.86563114698501</v>
      </c>
      <c r="AM6" s="16" t="n">
        <f aca="false">K6/E6</f>
        <v>0.891592620226548</v>
      </c>
      <c r="AN6" s="16" t="n">
        <f aca="false">N6/E6</f>
        <v>0.264210133622736</v>
      </c>
      <c r="AO6" s="16" t="n">
        <f aca="false">Q6/E6</f>
        <v>0.187275317099641</v>
      </c>
      <c r="AP6" s="16" t="n">
        <f aca="false">T6/E6</f>
        <v>1.06911754731059</v>
      </c>
      <c r="AQ6" s="16" t="n">
        <f aca="false">W6/E6</f>
        <v>1.00071220240114</v>
      </c>
      <c r="AR6" s="16" t="n">
        <f aca="false">Z6/E6</f>
        <v>0.174082615478532</v>
      </c>
      <c r="AS6" s="16" t="n">
        <f aca="false">AC6/E6</f>
        <v>0.0988265617581225</v>
      </c>
      <c r="AT6" s="16" t="n">
        <f aca="false">AF6/E6</f>
        <v>-0.641779149426847</v>
      </c>
      <c r="AU6" s="16" t="n">
        <f aca="false">AI6/E6</f>
        <v>-0.395221461032354</v>
      </c>
      <c r="AV6" s="16" t="n">
        <f aca="false">AM6-AM28</f>
        <v>-0.00672962543303324</v>
      </c>
      <c r="AW6" s="16" t="n">
        <f aca="false">AO6-AO28</f>
        <v>0.0188281322870492</v>
      </c>
      <c r="AX6" s="16" t="n">
        <f aca="false">AQ6-AQ28</f>
        <v>0.20581361405131</v>
      </c>
      <c r="AY6" s="16" t="n">
        <f aca="false">AS6-AS28</f>
        <v>-0.0068330196145856</v>
      </c>
      <c r="AZ6" s="16" t="n">
        <f aca="false">AU6-AU28</f>
        <v>-0.224538352156807</v>
      </c>
    </row>
    <row r="7" customFormat="false" ht="15" hidden="false" customHeight="false" outlineLevel="0" collapsed="false">
      <c r="A7" s="10" t="s">
        <v>232</v>
      </c>
      <c r="B7" s="10" t="s">
        <v>25</v>
      </c>
      <c r="C7" s="10" t="n">
        <v>2021</v>
      </c>
      <c r="D7" s="10" t="n">
        <v>2</v>
      </c>
      <c r="E7" s="15" t="n">
        <v>70615</v>
      </c>
      <c r="F7" s="7" t="s">
        <v>352</v>
      </c>
      <c r="G7" s="7" t="s">
        <v>56</v>
      </c>
      <c r="H7" s="15" t="n">
        <v>61507</v>
      </c>
      <c r="I7" s="7" t="s">
        <v>574</v>
      </c>
      <c r="J7" s="7" t="s">
        <v>56</v>
      </c>
      <c r="K7" s="15" t="n">
        <v>63340</v>
      </c>
      <c r="L7" s="7" t="s">
        <v>575</v>
      </c>
      <c r="M7" s="7" t="s">
        <v>56</v>
      </c>
      <c r="N7" s="15" t="n">
        <v>16271</v>
      </c>
      <c r="O7" s="7" t="s">
        <v>576</v>
      </c>
      <c r="P7" s="7" t="s">
        <v>56</v>
      </c>
      <c r="Q7" s="15" t="n">
        <v>11203</v>
      </c>
      <c r="R7" s="7" t="s">
        <v>577</v>
      </c>
      <c r="S7" s="7" t="s">
        <v>56</v>
      </c>
      <c r="T7" s="15" t="n">
        <v>61057</v>
      </c>
      <c r="U7" s="7" t="s">
        <v>578</v>
      </c>
      <c r="V7" s="7" t="s">
        <v>56</v>
      </c>
      <c r="W7" s="15" t="n">
        <v>55521</v>
      </c>
      <c r="X7" s="7" t="s">
        <v>579</v>
      </c>
      <c r="Y7" s="7" t="s">
        <v>56</v>
      </c>
      <c r="Z7" s="15" t="n">
        <v>11648</v>
      </c>
      <c r="AA7" s="7" t="s">
        <v>580</v>
      </c>
      <c r="AB7" s="7" t="s">
        <v>56</v>
      </c>
      <c r="AC7" s="15" t="n">
        <v>6527</v>
      </c>
      <c r="AD7" s="7" t="s">
        <v>581</v>
      </c>
      <c r="AE7" s="7" t="s">
        <v>56</v>
      </c>
      <c r="AF7" s="15" t="n">
        <v>-27469</v>
      </c>
      <c r="AG7" s="7" t="s">
        <v>582</v>
      </c>
      <c r="AH7" s="7" t="s">
        <v>56</v>
      </c>
      <c r="AI7" s="15" t="n">
        <v>-9911</v>
      </c>
      <c r="AJ7" s="7" t="s">
        <v>583</v>
      </c>
      <c r="AK7" s="7" t="s">
        <v>56</v>
      </c>
      <c r="AL7" s="16" t="n">
        <f aca="false">H7/E7</f>
        <v>0.871018905331728</v>
      </c>
      <c r="AM7" s="16" t="n">
        <f aca="false">K7/E7</f>
        <v>0.896976563053176</v>
      </c>
      <c r="AN7" s="16" t="n">
        <f aca="false">N7/E7</f>
        <v>0.230418466331516</v>
      </c>
      <c r="AO7" s="16" t="n">
        <f aca="false">Q7/E7</f>
        <v>0.158649012249522</v>
      </c>
      <c r="AP7" s="16" t="n">
        <f aca="false">T7/E7</f>
        <v>0.864646321603059</v>
      </c>
      <c r="AQ7" s="16" t="n">
        <f aca="false">W7/E7</f>
        <v>0.786249380443249</v>
      </c>
      <c r="AR7" s="16" t="n">
        <f aca="false">Z7/E7</f>
        <v>0.164950789492318</v>
      </c>
      <c r="AS7" s="16" t="n">
        <f aca="false">AC7/E7</f>
        <v>0.0924307866600581</v>
      </c>
      <c r="AT7" s="16" t="n">
        <f aca="false">AF7/E7</f>
        <v>-0.388996672095164</v>
      </c>
      <c r="AU7" s="16" t="n">
        <f aca="false">AI7/E7</f>
        <v>-0.140352616299653</v>
      </c>
      <c r="AV7" s="16" t="n">
        <f aca="false">AM7-AM28</f>
        <v>-0.00134568260640577</v>
      </c>
      <c r="AW7" s="16" t="n">
        <f aca="false">AO7-AO28</f>
        <v>-0.00979817256306922</v>
      </c>
      <c r="AX7" s="16" t="n">
        <f aca="false">AQ7-AQ28</f>
        <v>-0.00864920790658108</v>
      </c>
      <c r="AY7" s="16" t="n">
        <f aca="false">AS7-AS28</f>
        <v>-0.01322879471265</v>
      </c>
      <c r="AZ7" s="16" t="n">
        <f aca="false">AU7-AU28</f>
        <v>0.0303304925758946</v>
      </c>
    </row>
    <row r="8" customFormat="false" ht="15" hidden="false" customHeight="false" outlineLevel="0" collapsed="false">
      <c r="A8" s="10" t="s">
        <v>54</v>
      </c>
      <c r="B8" s="10" t="s">
        <v>25</v>
      </c>
      <c r="C8" s="10" t="n">
        <v>2021</v>
      </c>
      <c r="D8" s="10" t="n">
        <v>3</v>
      </c>
      <c r="E8" s="15" t="n">
        <v>83018</v>
      </c>
      <c r="F8" s="7" t="s">
        <v>57</v>
      </c>
      <c r="G8" s="7" t="s">
        <v>58</v>
      </c>
      <c r="H8" s="15" t="n">
        <v>72805</v>
      </c>
      <c r="I8" s="7" t="s">
        <v>584</v>
      </c>
      <c r="J8" s="7" t="s">
        <v>58</v>
      </c>
      <c r="K8" s="15" t="n">
        <v>74912</v>
      </c>
      <c r="L8" s="7" t="s">
        <v>585</v>
      </c>
      <c r="M8" s="7" t="s">
        <v>58</v>
      </c>
      <c r="N8" s="15" t="n">
        <v>19875</v>
      </c>
      <c r="O8" s="7" t="s">
        <v>586</v>
      </c>
      <c r="P8" s="7" t="s">
        <v>58</v>
      </c>
      <c r="Q8" s="15" t="n">
        <v>14255</v>
      </c>
      <c r="R8" s="7" t="s">
        <v>587</v>
      </c>
      <c r="S8" s="7" t="s">
        <v>58</v>
      </c>
      <c r="T8" s="15" t="n">
        <v>67443</v>
      </c>
      <c r="U8" s="7" t="s">
        <v>588</v>
      </c>
      <c r="V8" s="7" t="s">
        <v>58</v>
      </c>
      <c r="W8" s="15" t="n">
        <v>60995</v>
      </c>
      <c r="X8" s="7" t="s">
        <v>589</v>
      </c>
      <c r="Y8" s="7" t="s">
        <v>58</v>
      </c>
      <c r="Z8" s="15" t="n">
        <v>14698</v>
      </c>
      <c r="AA8" s="7" t="s">
        <v>590</v>
      </c>
      <c r="AB8" s="7" t="s">
        <v>58</v>
      </c>
      <c r="AC8" s="15" t="n">
        <v>9111</v>
      </c>
      <c r="AD8" s="7" t="s">
        <v>591</v>
      </c>
      <c r="AE8" s="7" t="s">
        <v>58</v>
      </c>
      <c r="AF8" s="15" t="n">
        <v>-29211</v>
      </c>
      <c r="AG8" s="7" t="s">
        <v>592</v>
      </c>
      <c r="AH8" s="7" t="s">
        <v>58</v>
      </c>
      <c r="AI8" s="15" t="n">
        <v>-9449</v>
      </c>
      <c r="AJ8" s="7" t="s">
        <v>152</v>
      </c>
      <c r="AK8" s="7" t="s">
        <v>58</v>
      </c>
      <c r="AL8" s="16" t="n">
        <f aca="false">H8/E8</f>
        <v>0.876978486593269</v>
      </c>
      <c r="AM8" s="16" t="n">
        <f aca="false">K8/E8</f>
        <v>0.902358524657303</v>
      </c>
      <c r="AN8" s="16" t="n">
        <f aca="false">N8/E8</f>
        <v>0.239405911970898</v>
      </c>
      <c r="AO8" s="16" t="n">
        <f aca="false">Q8/E8</f>
        <v>0.171709749692838</v>
      </c>
      <c r="AP8" s="16" t="n">
        <f aca="false">T8/E8</f>
        <v>0.812390084078152</v>
      </c>
      <c r="AQ8" s="16" t="n">
        <f aca="false">W8/E8</f>
        <v>0.73472018116553</v>
      </c>
      <c r="AR8" s="16" t="n">
        <f aca="false">Z8/E8</f>
        <v>0.177045941843937</v>
      </c>
      <c r="AS8" s="16" t="n">
        <f aca="false">AC8/E8</f>
        <v>0.109747283721603</v>
      </c>
      <c r="AT8" s="16" t="n">
        <f aca="false">AF8/E8</f>
        <v>-0.351863451299718</v>
      </c>
      <c r="AU8" s="16" t="n">
        <f aca="false">AI8/E8</f>
        <v>-0.113818689922667</v>
      </c>
      <c r="AV8" s="16" t="n">
        <f aca="false">AM8-AM28</f>
        <v>0.00403627899772185</v>
      </c>
      <c r="AW8" s="16" t="n">
        <f aca="false">AO8-AO28</f>
        <v>0.00326256488024643</v>
      </c>
      <c r="AX8" s="16" t="n">
        <f aca="false">AQ8-AQ28</f>
        <v>-0.0601784071842992</v>
      </c>
      <c r="AY8" s="16" t="n">
        <f aca="false">AS8-AS28</f>
        <v>0.00408770234889444</v>
      </c>
      <c r="AZ8" s="16" t="n">
        <f aca="false">AU8-AU28</f>
        <v>0.0568644189528803</v>
      </c>
    </row>
    <row r="9" customFormat="false" ht="15" hidden="false" customHeight="false" outlineLevel="0" collapsed="false">
      <c r="A9" s="10" t="s">
        <v>59</v>
      </c>
      <c r="B9" s="10" t="s">
        <v>25</v>
      </c>
      <c r="C9" s="10" t="n">
        <v>2021</v>
      </c>
      <c r="D9" s="10" t="n">
        <v>4</v>
      </c>
      <c r="E9" s="15" t="n">
        <v>95545</v>
      </c>
      <c r="F9" s="7" t="s">
        <v>61</v>
      </c>
      <c r="G9" s="7" t="s">
        <v>62</v>
      </c>
      <c r="H9" s="15" t="n">
        <v>83777</v>
      </c>
      <c r="I9" s="7" t="s">
        <v>593</v>
      </c>
      <c r="J9" s="7" t="s">
        <v>62</v>
      </c>
      <c r="K9" s="15" t="n">
        <v>85987</v>
      </c>
      <c r="L9" s="7" t="s">
        <v>594</v>
      </c>
      <c r="M9" s="7" t="s">
        <v>62</v>
      </c>
      <c r="N9" s="15" t="n">
        <v>21959</v>
      </c>
      <c r="O9" s="7" t="s">
        <v>595</v>
      </c>
      <c r="P9" s="7" t="s">
        <v>62</v>
      </c>
      <c r="Q9" s="15" t="n">
        <v>15405</v>
      </c>
      <c r="R9" s="7" t="s">
        <v>596</v>
      </c>
      <c r="S9" s="7" t="s">
        <v>62</v>
      </c>
      <c r="T9" s="15" t="n">
        <v>76535</v>
      </c>
      <c r="U9" s="7" t="s">
        <v>597</v>
      </c>
      <c r="V9" s="7" t="s">
        <v>62</v>
      </c>
      <c r="W9" s="15" t="n">
        <v>69418</v>
      </c>
      <c r="X9" s="7" t="s">
        <v>598</v>
      </c>
      <c r="Y9" s="7" t="s">
        <v>62</v>
      </c>
      <c r="Z9" s="15" t="n">
        <v>16881</v>
      </c>
      <c r="AA9" s="7" t="s">
        <v>599</v>
      </c>
      <c r="AB9" s="7" t="s">
        <v>62</v>
      </c>
      <c r="AC9" s="15" t="n">
        <v>11093</v>
      </c>
      <c r="AD9" s="7" t="s">
        <v>600</v>
      </c>
      <c r="AE9" s="7" t="s">
        <v>62</v>
      </c>
      <c r="AF9" s="15" t="n">
        <v>-31598</v>
      </c>
      <c r="AG9" s="7" t="s">
        <v>601</v>
      </c>
      <c r="AH9" s="7" t="s">
        <v>62</v>
      </c>
      <c r="AI9" s="15" t="n">
        <v>-9929</v>
      </c>
      <c r="AJ9" s="7" t="s">
        <v>155</v>
      </c>
      <c r="AK9" s="7" t="s">
        <v>62</v>
      </c>
      <c r="AL9" s="16" t="n">
        <f aca="false">H9/E9</f>
        <v>0.876832905960542</v>
      </c>
      <c r="AM9" s="16" t="n">
        <f aca="false">K9/E9</f>
        <v>0.89996336804647</v>
      </c>
      <c r="AN9" s="16" t="n">
        <f aca="false">N9/E9</f>
        <v>0.229828876445654</v>
      </c>
      <c r="AO9" s="16" t="n">
        <f aca="false">Q9/E9</f>
        <v>0.161232926893087</v>
      </c>
      <c r="AP9" s="16" t="n">
        <f aca="false">T9/E9</f>
        <v>0.80103616097127</v>
      </c>
      <c r="AQ9" s="16" t="n">
        <f aca="false">W9/E9</f>
        <v>0.726547700036632</v>
      </c>
      <c r="AR9" s="16" t="n">
        <f aca="false">Z9/E9</f>
        <v>0.176681145010205</v>
      </c>
      <c r="AS9" s="16" t="n">
        <f aca="false">AC9/E9</f>
        <v>0.116102360144435</v>
      </c>
      <c r="AT9" s="16" t="n">
        <f aca="false">AF9/E9</f>
        <v>-0.330713276466586</v>
      </c>
      <c r="AU9" s="16" t="n">
        <f aca="false">AI9/E9</f>
        <v>-0.103919619027683</v>
      </c>
      <c r="AV9" s="16" t="n">
        <f aca="false">AM9-AM28</f>
        <v>0.00164112238688885</v>
      </c>
      <c r="AW9" s="16" t="n">
        <f aca="false">AO9-AO28</f>
        <v>-0.00721425791950425</v>
      </c>
      <c r="AX9" s="16" t="n">
        <f aca="false">AQ9-AQ28</f>
        <v>-0.0683508883131977</v>
      </c>
      <c r="AY9" s="16" t="n">
        <f aca="false">AS9-AS28</f>
        <v>0.0104427787717265</v>
      </c>
      <c r="AZ9" s="16" t="n">
        <f aca="false">AU9-AU28</f>
        <v>0.0667634898478643</v>
      </c>
    </row>
    <row r="10" customFormat="false" ht="15" hidden="false" customHeight="false" outlineLevel="0" collapsed="false">
      <c r="A10" s="10" t="s">
        <v>63</v>
      </c>
      <c r="B10" s="10" t="s">
        <v>25</v>
      </c>
      <c r="C10" s="10" t="n">
        <v>2022</v>
      </c>
      <c r="D10" s="10" t="n">
        <v>1</v>
      </c>
      <c r="E10" s="15" t="n">
        <v>108497</v>
      </c>
      <c r="F10" s="7" t="s">
        <v>65</v>
      </c>
      <c r="G10" s="7" t="s">
        <v>66</v>
      </c>
      <c r="H10" s="15" t="n">
        <v>93888</v>
      </c>
      <c r="I10" s="7" t="s">
        <v>602</v>
      </c>
      <c r="J10" s="7" t="s">
        <v>66</v>
      </c>
      <c r="K10" s="15" t="n">
        <v>96329</v>
      </c>
      <c r="L10" s="7" t="s">
        <v>603</v>
      </c>
      <c r="M10" s="7" t="s">
        <v>66</v>
      </c>
      <c r="N10" s="15" t="n">
        <v>26541</v>
      </c>
      <c r="O10" s="7" t="s">
        <v>604</v>
      </c>
      <c r="P10" s="7" t="s">
        <v>66</v>
      </c>
      <c r="Q10" s="15" t="n">
        <v>19153</v>
      </c>
      <c r="R10" s="7" t="s">
        <v>605</v>
      </c>
      <c r="S10" s="7" t="s">
        <v>66</v>
      </c>
      <c r="T10" s="15" t="n">
        <v>115973</v>
      </c>
      <c r="U10" s="7" t="s">
        <v>606</v>
      </c>
      <c r="V10" s="7" t="s">
        <v>66</v>
      </c>
      <c r="W10" s="15" t="n">
        <v>108595</v>
      </c>
      <c r="X10" s="7" t="s">
        <v>607</v>
      </c>
      <c r="Y10" s="7" t="s">
        <v>66</v>
      </c>
      <c r="Z10" s="15" t="n">
        <v>18870</v>
      </c>
      <c r="AA10" s="7" t="s">
        <v>608</v>
      </c>
      <c r="AB10" s="7" t="s">
        <v>66</v>
      </c>
      <c r="AC10" s="15" t="n">
        <v>12411</v>
      </c>
      <c r="AD10" s="7" t="s">
        <v>609</v>
      </c>
      <c r="AE10" s="7" t="s">
        <v>66</v>
      </c>
      <c r="AF10" s="15" t="n">
        <v>-67496</v>
      </c>
      <c r="AG10" s="7" t="s">
        <v>610</v>
      </c>
      <c r="AH10" s="7" t="s">
        <v>66</v>
      </c>
      <c r="AI10" s="15" t="n">
        <v>-43830</v>
      </c>
      <c r="AJ10" s="7" t="s">
        <v>157</v>
      </c>
      <c r="AK10" s="7" t="s">
        <v>66</v>
      </c>
      <c r="AL10" s="16" t="n">
        <f aca="false">H10/E10</f>
        <v>0.865351115699052</v>
      </c>
      <c r="AM10" s="16" t="n">
        <f aca="false">K10/E10</f>
        <v>0.887849433624893</v>
      </c>
      <c r="AN10" s="16" t="n">
        <f aca="false">N10/E10</f>
        <v>0.244624275325585</v>
      </c>
      <c r="AO10" s="16" t="n">
        <f aca="false">Q10/E10</f>
        <v>0.176530226642211</v>
      </c>
      <c r="AP10" s="16" t="n">
        <f aca="false">T10/E10</f>
        <v>1.06890513101745</v>
      </c>
      <c r="AQ10" s="16" t="n">
        <f aca="false">W10/E10</f>
        <v>1.00090325078113</v>
      </c>
      <c r="AR10" s="16" t="n">
        <f aca="false">Z10/E10</f>
        <v>0.173921859590588</v>
      </c>
      <c r="AS10" s="16" t="n">
        <f aca="false">AC10/E10</f>
        <v>0.114390259638515</v>
      </c>
      <c r="AT10" s="16" t="n">
        <f aca="false">AF10/E10</f>
        <v>-0.622100150234569</v>
      </c>
      <c r="AU10" s="16" t="n">
        <f aca="false">AI10/E10</f>
        <v>-0.403974303436961</v>
      </c>
      <c r="AV10" s="16" t="n">
        <f aca="false">AM10-AM29</f>
        <v>-0.00402173349679014</v>
      </c>
      <c r="AW10" s="16" t="n">
        <f aca="false">AO10-AO29</f>
        <v>-0.00475058810995091</v>
      </c>
      <c r="AX10" s="16" t="n">
        <f aca="false">AQ10-AQ29</f>
        <v>0.309976539556899</v>
      </c>
      <c r="AY10" s="16" t="n">
        <f aca="false">AS10-AS29</f>
        <v>0.00398987738627125</v>
      </c>
      <c r="AZ10" s="16" t="n">
        <f aca="false">AU10-AU29</f>
        <v>-0.31323756233001</v>
      </c>
    </row>
    <row r="11" customFormat="false" ht="15" hidden="false" customHeight="false" outlineLevel="0" collapsed="false">
      <c r="A11" s="10" t="s">
        <v>69</v>
      </c>
      <c r="B11" s="10" t="s">
        <v>25</v>
      </c>
      <c r="C11" s="10" t="n">
        <v>2022</v>
      </c>
      <c r="D11" s="10" t="n">
        <v>2</v>
      </c>
      <c r="E11" s="15" t="n">
        <v>123718</v>
      </c>
      <c r="F11" s="7" t="s">
        <v>71</v>
      </c>
      <c r="G11" s="7" t="s">
        <v>72</v>
      </c>
      <c r="H11" s="15" t="n">
        <v>106988</v>
      </c>
      <c r="I11" s="7" t="s">
        <v>611</v>
      </c>
      <c r="J11" s="7" t="s">
        <v>72</v>
      </c>
      <c r="K11" s="15" t="n">
        <v>109903</v>
      </c>
      <c r="L11" s="7" t="s">
        <v>612</v>
      </c>
      <c r="M11" s="7" t="s">
        <v>72</v>
      </c>
      <c r="N11" s="15" t="n">
        <v>33962</v>
      </c>
      <c r="O11" s="7" t="s">
        <v>613</v>
      </c>
      <c r="P11" s="7" t="s">
        <v>72</v>
      </c>
      <c r="Q11" s="15" t="n">
        <v>23963</v>
      </c>
      <c r="R11" s="7" t="s">
        <v>614</v>
      </c>
      <c r="S11" s="7" t="s">
        <v>72</v>
      </c>
      <c r="T11" s="15" t="n">
        <v>96740</v>
      </c>
      <c r="U11" s="7" t="s">
        <v>615</v>
      </c>
      <c r="V11" s="7" t="s">
        <v>72</v>
      </c>
      <c r="W11" s="15" t="n">
        <v>86665</v>
      </c>
      <c r="X11" s="7" t="s">
        <v>616</v>
      </c>
      <c r="Y11" s="7" t="s">
        <v>72</v>
      </c>
      <c r="Z11" s="15" t="n">
        <v>22466</v>
      </c>
      <c r="AA11" s="7" t="s">
        <v>617</v>
      </c>
      <c r="AB11" s="7" t="s">
        <v>72</v>
      </c>
      <c r="AC11" s="15" t="n">
        <v>14633</v>
      </c>
      <c r="AD11" s="7" t="s">
        <v>618</v>
      </c>
      <c r="AE11" s="7" t="s">
        <v>72</v>
      </c>
      <c r="AF11" s="15" t="n">
        <v>-46180</v>
      </c>
      <c r="AG11" s="7" t="s">
        <v>619</v>
      </c>
      <c r="AH11" s="7" t="s">
        <v>72</v>
      </c>
      <c r="AI11" s="15" t="n">
        <v>-15358</v>
      </c>
      <c r="AJ11" s="7" t="s">
        <v>159</v>
      </c>
      <c r="AK11" s="7" t="s">
        <v>72</v>
      </c>
      <c r="AL11" s="16" t="n">
        <f aca="false">H11/E11</f>
        <v>0.864773113047414</v>
      </c>
      <c r="AM11" s="16" t="n">
        <f aca="false">K11/E11</f>
        <v>0.888334761312016</v>
      </c>
      <c r="AN11" s="16" t="n">
        <f aca="false">N11/E11</f>
        <v>0.274511388803569</v>
      </c>
      <c r="AO11" s="16" t="n">
        <f aca="false">Q11/E11</f>
        <v>0.193690489661973</v>
      </c>
      <c r="AP11" s="16" t="n">
        <f aca="false">T11/E11</f>
        <v>0.781939572253027</v>
      </c>
      <c r="AQ11" s="16" t="n">
        <f aca="false">W11/E11</f>
        <v>0.700504372847928</v>
      </c>
      <c r="AR11" s="16" t="n">
        <f aca="false">Z11/E11</f>
        <v>0.181590391050615</v>
      </c>
      <c r="AS11" s="16" t="n">
        <f aca="false">AC11/E11</f>
        <v>0.11827704941884</v>
      </c>
      <c r="AT11" s="16" t="n">
        <f aca="false">AF11/E11</f>
        <v>-0.373268239059797</v>
      </c>
      <c r="AU11" s="16" t="n">
        <f aca="false">AI11/E11</f>
        <v>-0.124137150616725</v>
      </c>
      <c r="AV11" s="16" t="n">
        <f aca="false">AM11-AM29</f>
        <v>-0.00353640580966697</v>
      </c>
      <c r="AW11" s="16" t="n">
        <f aca="false">AO11-AO29</f>
        <v>0.012409674909811</v>
      </c>
      <c r="AX11" s="16" t="n">
        <f aca="false">AQ11-AQ29</f>
        <v>0.0095776616237</v>
      </c>
      <c r="AY11" s="16" t="n">
        <f aca="false">AS11-AS29</f>
        <v>0.00787666716659553</v>
      </c>
      <c r="AZ11" s="16" t="n">
        <f aca="false">AU11-AU29</f>
        <v>-0.0334004095097735</v>
      </c>
    </row>
    <row r="12" customFormat="false" ht="15" hidden="false" customHeight="false" outlineLevel="0" collapsed="false">
      <c r="A12" s="10" t="s">
        <v>74</v>
      </c>
      <c r="B12" s="10" t="s">
        <v>25</v>
      </c>
      <c r="C12" s="10" t="n">
        <v>2022</v>
      </c>
      <c r="D12" s="10" t="n">
        <v>3</v>
      </c>
      <c r="E12" s="15" t="n">
        <v>136893</v>
      </c>
      <c r="F12" s="7" t="s">
        <v>76</v>
      </c>
      <c r="G12" s="7" t="s">
        <v>68</v>
      </c>
      <c r="H12" s="15" t="n">
        <v>119063</v>
      </c>
      <c r="I12" s="7" t="s">
        <v>620</v>
      </c>
      <c r="J12" s="7" t="s">
        <v>68</v>
      </c>
      <c r="K12" s="15" t="n">
        <v>121746</v>
      </c>
      <c r="L12" s="7" t="s">
        <v>621</v>
      </c>
      <c r="M12" s="7" t="s">
        <v>68</v>
      </c>
      <c r="N12" s="15" t="n">
        <v>33984</v>
      </c>
      <c r="O12" s="7" t="s">
        <v>622</v>
      </c>
      <c r="P12" s="7" t="s">
        <v>68</v>
      </c>
      <c r="Q12" s="15" t="n">
        <v>26259</v>
      </c>
      <c r="R12" s="7" t="s">
        <v>623</v>
      </c>
      <c r="S12" s="7" t="s">
        <v>68</v>
      </c>
      <c r="T12" s="15" t="n">
        <v>90970</v>
      </c>
      <c r="U12" s="7" t="s">
        <v>624</v>
      </c>
      <c r="V12" s="7" t="s">
        <v>68</v>
      </c>
      <c r="W12" s="15" t="n">
        <v>82432</v>
      </c>
      <c r="X12" s="7" t="s">
        <v>625</v>
      </c>
      <c r="Y12" s="7" t="s">
        <v>68</v>
      </c>
      <c r="Z12" s="15" t="n">
        <v>22348</v>
      </c>
      <c r="AA12" s="7" t="s">
        <v>626</v>
      </c>
      <c r="AB12" s="7" t="s">
        <v>68</v>
      </c>
      <c r="AC12" s="15" t="n">
        <v>15240</v>
      </c>
      <c r="AD12" s="7" t="s">
        <v>627</v>
      </c>
      <c r="AE12" s="7" t="s">
        <v>68</v>
      </c>
      <c r="AF12" s="15" t="n">
        <v>-28239</v>
      </c>
      <c r="AG12" s="7" t="s">
        <v>628</v>
      </c>
      <c r="AH12" s="7" t="s">
        <v>68</v>
      </c>
      <c r="AI12" s="15" t="n">
        <v>-2185</v>
      </c>
      <c r="AJ12" s="7" t="s">
        <v>161</v>
      </c>
      <c r="AK12" s="7" t="s">
        <v>68</v>
      </c>
      <c r="AL12" s="16" t="n">
        <f aca="false">H12/E12</f>
        <v>0.86975228828355</v>
      </c>
      <c r="AM12" s="16" t="n">
        <f aca="false">K12/E12</f>
        <v>0.889351537332077</v>
      </c>
      <c r="AN12" s="16" t="n">
        <f aca="false">N12/E12</f>
        <v>0.248252284631062</v>
      </c>
      <c r="AO12" s="16" t="n">
        <f aca="false">Q12/E12</f>
        <v>0.191821349521159</v>
      </c>
      <c r="AP12" s="16" t="n">
        <f aca="false">T12/E12</f>
        <v>0.664533613844389</v>
      </c>
      <c r="AQ12" s="16" t="n">
        <f aca="false">W12/E12</f>
        <v>0.602163733719036</v>
      </c>
      <c r="AR12" s="16" t="n">
        <f aca="false">Z12/E12</f>
        <v>0.163251590658397</v>
      </c>
      <c r="AS12" s="16" t="n">
        <f aca="false">AC12/E12</f>
        <v>0.111327825381868</v>
      </c>
      <c r="AT12" s="16" t="n">
        <f aca="false">AF12/E12</f>
        <v>-0.206285200850299</v>
      </c>
      <c r="AU12" s="16" t="n">
        <f aca="false">AI12/E12</f>
        <v>-0.0159613712899856</v>
      </c>
      <c r="AV12" s="16" t="n">
        <f aca="false">AM12-AM29</f>
        <v>-0.00251962978960618</v>
      </c>
      <c r="AW12" s="16" t="n">
        <f aca="false">AO12-AO29</f>
        <v>0.0105405347689967</v>
      </c>
      <c r="AX12" s="16" t="n">
        <f aca="false">AQ12-AQ29</f>
        <v>-0.0887629775051922</v>
      </c>
      <c r="AY12" s="16" t="n">
        <f aca="false">AS12-AS29</f>
        <v>0.000927443129623493</v>
      </c>
      <c r="AZ12" s="16" t="n">
        <f aca="false">AU12-AU29</f>
        <v>0.074775369816966</v>
      </c>
    </row>
    <row r="13" customFormat="false" ht="15" hidden="false" customHeight="false" outlineLevel="0" collapsed="false">
      <c r="A13" s="10" t="s">
        <v>78</v>
      </c>
      <c r="B13" s="10" t="s">
        <v>25</v>
      </c>
      <c r="C13" s="10" t="n">
        <v>2022</v>
      </c>
      <c r="D13" s="10" t="n">
        <v>4</v>
      </c>
      <c r="E13" s="15" t="n">
        <v>149921</v>
      </c>
      <c r="F13" s="7" t="s">
        <v>80</v>
      </c>
      <c r="G13" s="7" t="s">
        <v>81</v>
      </c>
      <c r="H13" s="15" t="n">
        <v>132562</v>
      </c>
      <c r="I13" s="7" t="s">
        <v>629</v>
      </c>
      <c r="J13" s="7" t="s">
        <v>81</v>
      </c>
      <c r="K13" s="15" t="n">
        <v>134929</v>
      </c>
      <c r="L13" s="7" t="s">
        <v>630</v>
      </c>
      <c r="M13" s="7" t="s">
        <v>81</v>
      </c>
      <c r="N13" s="15" t="n">
        <v>32560</v>
      </c>
      <c r="O13" s="7" t="s">
        <v>631</v>
      </c>
      <c r="P13" s="7" t="s">
        <v>81</v>
      </c>
      <c r="Q13" s="15" t="n">
        <v>24715</v>
      </c>
      <c r="R13" s="7" t="s">
        <v>632</v>
      </c>
      <c r="S13" s="7" t="s">
        <v>81</v>
      </c>
      <c r="T13" s="15" t="n">
        <v>88385</v>
      </c>
      <c r="U13" s="7" t="s">
        <v>633</v>
      </c>
      <c r="V13" s="7" t="s">
        <v>81</v>
      </c>
      <c r="W13" s="15" t="n">
        <v>80919</v>
      </c>
      <c r="X13" s="7" t="s">
        <v>634</v>
      </c>
      <c r="Y13" s="7" t="s">
        <v>81</v>
      </c>
      <c r="Z13" s="15" t="n">
        <v>21717</v>
      </c>
      <c r="AA13" s="7" t="s">
        <v>635</v>
      </c>
      <c r="AB13" s="7" t="s">
        <v>81</v>
      </c>
      <c r="AC13" s="15" t="n">
        <v>15017</v>
      </c>
      <c r="AD13" s="7" t="s">
        <v>636</v>
      </c>
      <c r="AE13" s="7" t="s">
        <v>81</v>
      </c>
      <c r="AF13" s="15" t="n">
        <v>-10100</v>
      </c>
      <c r="AG13" s="7" t="s">
        <v>637</v>
      </c>
      <c r="AH13" s="7" t="s">
        <v>81</v>
      </c>
      <c r="AI13" s="15" t="n">
        <v>14278</v>
      </c>
      <c r="AJ13" s="7" t="s">
        <v>163</v>
      </c>
      <c r="AK13" s="7" t="s">
        <v>81</v>
      </c>
      <c r="AL13" s="16" t="n">
        <f aca="false">H13/E13</f>
        <v>0.884212351838635</v>
      </c>
      <c r="AM13" s="16" t="n">
        <f aca="false">K13/E13</f>
        <v>0.900000667017963</v>
      </c>
      <c r="AN13" s="16" t="n">
        <f aca="false">N13/E13</f>
        <v>0.217181048685641</v>
      </c>
      <c r="AO13" s="16" t="n">
        <f aca="false">Q13/E13</f>
        <v>0.164853489504472</v>
      </c>
      <c r="AP13" s="16" t="n">
        <f aca="false">T13/E13</f>
        <v>0.589543826415245</v>
      </c>
      <c r="AQ13" s="16" t="n">
        <f aca="false">W13/E13</f>
        <v>0.539744265313065</v>
      </c>
      <c r="AR13" s="16" t="n">
        <f aca="false">Z13/E13</f>
        <v>0.144856290979916</v>
      </c>
      <c r="AS13" s="16" t="n">
        <f aca="false">AC13/E13</f>
        <v>0.100166087472736</v>
      </c>
      <c r="AT13" s="16" t="n">
        <f aca="false">AF13/E13</f>
        <v>-0.0673688142421675</v>
      </c>
      <c r="AU13" s="16" t="n">
        <f aca="false">AI13/E13</f>
        <v>0.0952368247276899</v>
      </c>
      <c r="AV13" s="16" t="n">
        <f aca="false">AM13-AM29</f>
        <v>0.00812949989627976</v>
      </c>
      <c r="AW13" s="16" t="n">
        <f aca="false">AO13-AO29</f>
        <v>-0.0164273252476899</v>
      </c>
      <c r="AX13" s="16" t="n">
        <f aca="false">AQ13-AQ29</f>
        <v>-0.151182445911163</v>
      </c>
      <c r="AY13" s="16" t="n">
        <f aca="false">AS13-AS29</f>
        <v>-0.0102342947795084</v>
      </c>
      <c r="AZ13" s="16" t="n">
        <f aca="false">AU13-AU29</f>
        <v>0.185973565834642</v>
      </c>
    </row>
    <row r="14" customFormat="false" ht="15" hidden="false" customHeight="false" outlineLevel="0" collapsed="false">
      <c r="A14" s="10" t="s">
        <v>83</v>
      </c>
      <c r="B14" s="10" t="s">
        <v>25</v>
      </c>
      <c r="C14" s="10" t="n">
        <v>2023</v>
      </c>
      <c r="D14" s="10" t="n">
        <v>1</v>
      </c>
      <c r="E14" s="15" t="n">
        <v>162256</v>
      </c>
      <c r="F14" s="7" t="s">
        <v>85</v>
      </c>
      <c r="G14" s="7" t="s">
        <v>86</v>
      </c>
      <c r="H14" s="15" t="n">
        <v>145242</v>
      </c>
      <c r="I14" s="7" t="s">
        <v>638</v>
      </c>
      <c r="J14" s="7" t="s">
        <v>86</v>
      </c>
      <c r="K14" s="15" t="n">
        <v>146719</v>
      </c>
      <c r="L14" s="7" t="s">
        <v>639</v>
      </c>
      <c r="M14" s="7" t="s">
        <v>86</v>
      </c>
      <c r="N14" s="15" t="n">
        <v>37063</v>
      </c>
      <c r="O14" s="7" t="s">
        <v>640</v>
      </c>
      <c r="P14" s="7" t="s">
        <v>86</v>
      </c>
      <c r="Q14" s="15" t="n">
        <v>28519</v>
      </c>
      <c r="R14" s="7" t="s">
        <v>641</v>
      </c>
      <c r="S14" s="7" t="s">
        <v>86</v>
      </c>
      <c r="T14" s="15" t="n">
        <v>107680</v>
      </c>
      <c r="U14" s="7" t="s">
        <v>642</v>
      </c>
      <c r="V14" s="7" t="s">
        <v>86</v>
      </c>
      <c r="W14" s="15" t="n">
        <v>102652</v>
      </c>
      <c r="X14" s="7" t="s">
        <v>643</v>
      </c>
      <c r="Y14" s="7" t="s">
        <v>86</v>
      </c>
      <c r="Z14" s="15" t="n">
        <v>23251</v>
      </c>
      <c r="AA14" s="7" t="s">
        <v>644</v>
      </c>
      <c r="AB14" s="7" t="s">
        <v>86</v>
      </c>
      <c r="AC14" s="15" t="n">
        <v>15841</v>
      </c>
      <c r="AD14" s="7" t="s">
        <v>645</v>
      </c>
      <c r="AE14" s="7" t="s">
        <v>86</v>
      </c>
      <c r="AF14" s="15" t="n">
        <v>-22752</v>
      </c>
      <c r="AG14" s="7" t="s">
        <v>646</v>
      </c>
      <c r="AH14" s="7" t="s">
        <v>86</v>
      </c>
      <c r="AI14" s="15" t="n">
        <v>-293</v>
      </c>
      <c r="AJ14" s="7" t="s">
        <v>165</v>
      </c>
      <c r="AK14" s="7" t="s">
        <v>86</v>
      </c>
      <c r="AL14" s="16" t="n">
        <f aca="false">H14/E14</f>
        <v>0.895141011734543</v>
      </c>
      <c r="AM14" s="16" t="n">
        <f aca="false">K14/E14</f>
        <v>0.904243910856918</v>
      </c>
      <c r="AN14" s="16" t="n">
        <f aca="false">N14/E14</f>
        <v>0.228422985898827</v>
      </c>
      <c r="AO14" s="16" t="n">
        <f aca="false">Q14/E14</f>
        <v>0.175765457055517</v>
      </c>
      <c r="AP14" s="16" t="n">
        <f aca="false">T14/E14</f>
        <v>0.663642638793018</v>
      </c>
      <c r="AQ14" s="16" t="n">
        <f aca="false">W14/E14</f>
        <v>0.632654570555172</v>
      </c>
      <c r="AR14" s="16" t="n">
        <f aca="false">Z14/E14</f>
        <v>0.143298244749039</v>
      </c>
      <c r="AS14" s="16" t="n">
        <f aca="false">AC14/E14</f>
        <v>0.0976296716300168</v>
      </c>
      <c r="AT14" s="16" t="n">
        <f aca="false">AF14/E14</f>
        <v>-0.140222857706341</v>
      </c>
      <c r="AU14" s="16" t="n">
        <f aca="false">AI14/E14</f>
        <v>-0.00180578838378858</v>
      </c>
      <c r="AV14" s="16" t="n">
        <f aca="false">AM14-AM30</f>
        <v>0.00611935196587399</v>
      </c>
      <c r="AW14" s="16" t="n">
        <f aca="false">AO14-AO30</f>
        <v>0.0143788503225671</v>
      </c>
      <c r="AX14" s="16" t="n">
        <f aca="false">AQ14-AQ30</f>
        <v>0.0666550776163415</v>
      </c>
      <c r="AY14" s="16" t="n">
        <f aca="false">AS14-AS30</f>
        <v>0.0113114153722652</v>
      </c>
      <c r="AZ14" s="16" t="n">
        <f aca="false">AU14-AU30</f>
        <v>-0.0862259913452999</v>
      </c>
    </row>
    <row r="15" customFormat="false" ht="15" hidden="false" customHeight="false" outlineLevel="0" collapsed="false">
      <c r="A15" s="10" t="s">
        <v>88</v>
      </c>
      <c r="B15" s="10" t="s">
        <v>25</v>
      </c>
      <c r="C15" s="10" t="n">
        <v>2023</v>
      </c>
      <c r="D15" s="10" t="n">
        <v>2</v>
      </c>
      <c r="E15" s="15" t="n">
        <v>175679</v>
      </c>
      <c r="F15" s="7" t="s">
        <v>90</v>
      </c>
      <c r="G15" s="7" t="s">
        <v>91</v>
      </c>
      <c r="H15" s="15" t="n">
        <v>156163</v>
      </c>
      <c r="I15" s="7" t="s">
        <v>647</v>
      </c>
      <c r="J15" s="7" t="s">
        <v>91</v>
      </c>
      <c r="K15" s="15" t="n">
        <v>158008</v>
      </c>
      <c r="L15" s="7" t="s">
        <v>648</v>
      </c>
      <c r="M15" s="7" t="s">
        <v>91</v>
      </c>
      <c r="N15" s="15" t="n">
        <v>39106</v>
      </c>
      <c r="O15" s="7" t="s">
        <v>649</v>
      </c>
      <c r="P15" s="7" t="s">
        <v>91</v>
      </c>
      <c r="Q15" s="15" t="n">
        <v>27908</v>
      </c>
      <c r="R15" s="7" t="s">
        <v>650</v>
      </c>
      <c r="S15" s="7" t="s">
        <v>91</v>
      </c>
      <c r="T15" s="15" t="n">
        <v>107443</v>
      </c>
      <c r="U15" s="7" t="s">
        <v>651</v>
      </c>
      <c r="V15" s="7" t="s">
        <v>91</v>
      </c>
      <c r="W15" s="15" t="n">
        <v>98831</v>
      </c>
      <c r="X15" s="7" t="s">
        <v>652</v>
      </c>
      <c r="Y15" s="7" t="s">
        <v>91</v>
      </c>
      <c r="Z15" s="15" t="n">
        <v>21781</v>
      </c>
      <c r="AA15" s="7" t="s">
        <v>653</v>
      </c>
      <c r="AB15" s="7" t="s">
        <v>91</v>
      </c>
      <c r="AC15" s="15" t="n">
        <v>14652</v>
      </c>
      <c r="AD15" s="7" t="s">
        <v>654</v>
      </c>
      <c r="AE15" s="7" t="s">
        <v>91</v>
      </c>
      <c r="AF15" s="15" t="n">
        <v>-12167</v>
      </c>
      <c r="AG15" s="7" t="s">
        <v>655</v>
      </c>
      <c r="AH15" s="7" t="s">
        <v>91</v>
      </c>
      <c r="AI15" s="15" t="n">
        <v>16617</v>
      </c>
      <c r="AJ15" s="7" t="s">
        <v>167</v>
      </c>
      <c r="AK15" s="7" t="s">
        <v>91</v>
      </c>
      <c r="AL15" s="16" t="n">
        <f aca="false">H15/E15</f>
        <v>0.888911025222138</v>
      </c>
      <c r="AM15" s="16" t="n">
        <f aca="false">K15/E15</f>
        <v>0.89941313418223</v>
      </c>
      <c r="AN15" s="16" t="n">
        <f aca="false">N15/E15</f>
        <v>0.222599172354123</v>
      </c>
      <c r="AO15" s="16" t="n">
        <f aca="false">Q15/E15</f>
        <v>0.15885791699634</v>
      </c>
      <c r="AP15" s="16" t="n">
        <f aca="false">T15/E15</f>
        <v>0.611587042275969</v>
      </c>
      <c r="AQ15" s="16" t="n">
        <f aca="false">W15/E15</f>
        <v>0.56256581606225</v>
      </c>
      <c r="AR15" s="16" t="n">
        <f aca="false">Z15/E15</f>
        <v>0.123981807728869</v>
      </c>
      <c r="AS15" s="16" t="n">
        <f aca="false">AC15/E15</f>
        <v>0.083402114083072</v>
      </c>
      <c r="AT15" s="16" t="n">
        <f aca="false">AF15/E15</f>
        <v>-0.0692569971368234</v>
      </c>
      <c r="AU15" s="16" t="n">
        <f aca="false">AI15/E15</f>
        <v>0.0945872870405683</v>
      </c>
      <c r="AV15" s="16" t="n">
        <f aca="false">AM15-AM30</f>
        <v>0.00128857529118664</v>
      </c>
      <c r="AW15" s="16" t="n">
        <f aca="false">AO15-AO30</f>
        <v>-0.00252868973661016</v>
      </c>
      <c r="AX15" s="16" t="n">
        <f aca="false">AQ15-AQ30</f>
        <v>-0.00343367687658069</v>
      </c>
      <c r="AY15" s="16" t="n">
        <f aca="false">AS15-AS30</f>
        <v>-0.00291614217467956</v>
      </c>
      <c r="AZ15" s="16" t="n">
        <f aca="false">AU15-AU30</f>
        <v>0.010167084079057</v>
      </c>
    </row>
    <row r="16" customFormat="false" ht="15" hidden="false" customHeight="false" outlineLevel="0" collapsed="false">
      <c r="A16" s="10" t="s">
        <v>93</v>
      </c>
      <c r="B16" s="10" t="s">
        <v>25</v>
      </c>
      <c r="C16" s="10" t="n">
        <v>2023</v>
      </c>
      <c r="D16" s="10" t="n">
        <v>3</v>
      </c>
      <c r="E16" s="15" t="n">
        <v>189190</v>
      </c>
      <c r="F16" s="7" t="s">
        <v>95</v>
      </c>
      <c r="G16" s="7" t="s">
        <v>96</v>
      </c>
      <c r="H16" s="15" t="n">
        <v>167483</v>
      </c>
      <c r="I16" s="7" t="s">
        <v>656</v>
      </c>
      <c r="J16" s="7" t="s">
        <v>96</v>
      </c>
      <c r="K16" s="15" t="n">
        <v>168866</v>
      </c>
      <c r="L16" s="7" t="s">
        <v>657</v>
      </c>
      <c r="M16" s="7" t="s">
        <v>96</v>
      </c>
      <c r="N16" s="15" t="n">
        <v>38433</v>
      </c>
      <c r="O16" s="7" t="s">
        <v>658</v>
      </c>
      <c r="P16" s="7" t="s">
        <v>96</v>
      </c>
      <c r="Q16" s="15" t="n">
        <v>28051</v>
      </c>
      <c r="R16" s="7" t="s">
        <v>659</v>
      </c>
      <c r="S16" s="7" t="s">
        <v>96</v>
      </c>
      <c r="T16" s="15" t="n">
        <v>108360</v>
      </c>
      <c r="U16" s="7" t="s">
        <v>660</v>
      </c>
      <c r="V16" s="7" t="s">
        <v>96</v>
      </c>
      <c r="W16" s="15" t="n">
        <v>101504</v>
      </c>
      <c r="X16" s="7" t="s">
        <v>661</v>
      </c>
      <c r="Y16" s="7" t="s">
        <v>96</v>
      </c>
      <c r="Z16" s="15" t="n">
        <v>23211</v>
      </c>
      <c r="AA16" s="7" t="s">
        <v>662</v>
      </c>
      <c r="AB16" s="7" t="s">
        <v>96</v>
      </c>
      <c r="AC16" s="15" t="n">
        <v>15234</v>
      </c>
      <c r="AD16" s="7" t="s">
        <v>663</v>
      </c>
      <c r="AE16" s="7" t="s">
        <v>96</v>
      </c>
      <c r="AF16" s="15" t="n">
        <v>-2521</v>
      </c>
      <c r="AG16" s="7" t="s">
        <v>664</v>
      </c>
      <c r="AH16" s="7" t="s">
        <v>96</v>
      </c>
      <c r="AI16" s="15" t="n">
        <v>24077</v>
      </c>
      <c r="AJ16" s="7" t="s">
        <v>169</v>
      </c>
      <c r="AK16" s="7" t="s">
        <v>96</v>
      </c>
      <c r="AL16" s="16" t="n">
        <f aca="false">H16/E16</f>
        <v>0.885263491727893</v>
      </c>
      <c r="AM16" s="16" t="n">
        <f aca="false">K16/E16</f>
        <v>0.892573603255986</v>
      </c>
      <c r="AN16" s="16" t="n">
        <f aca="false">N16/E16</f>
        <v>0.203144986521486</v>
      </c>
      <c r="AO16" s="16" t="n">
        <f aca="false">Q16/E16</f>
        <v>0.148268935990274</v>
      </c>
      <c r="AP16" s="16" t="n">
        <f aca="false">T16/E16</f>
        <v>0.572757545324806</v>
      </c>
      <c r="AQ16" s="16" t="n">
        <f aca="false">W16/E16</f>
        <v>0.536518843490671</v>
      </c>
      <c r="AR16" s="16" t="n">
        <f aca="false">Z16/E16</f>
        <v>0.122686188487764</v>
      </c>
      <c r="AS16" s="16" t="n">
        <f aca="false">AC16/E16</f>
        <v>0.0805222263333157</v>
      </c>
      <c r="AT16" s="16" t="n">
        <f aca="false">AF16/E16</f>
        <v>-0.0133252286061631</v>
      </c>
      <c r="AU16" s="16" t="n">
        <f aca="false">AI16/E16</f>
        <v>0.127263597441725</v>
      </c>
      <c r="AV16" s="16" t="n">
        <f aca="false">AM16-AM30</f>
        <v>-0.00555095563505748</v>
      </c>
      <c r="AW16" s="16" t="n">
        <f aca="false">AO16-AO30</f>
        <v>-0.0131176707426758</v>
      </c>
      <c r="AX16" s="16" t="n">
        <f aca="false">AQ16-AQ30</f>
        <v>-0.0294806494481598</v>
      </c>
      <c r="AY16" s="16" t="n">
        <f aca="false">AS16-AS30</f>
        <v>-0.00579602992443581</v>
      </c>
      <c r="AZ16" s="16" t="n">
        <f aca="false">AU16-AU30</f>
        <v>0.0428433944802139</v>
      </c>
    </row>
    <row r="17" customFormat="false" ht="15" hidden="false" customHeight="false" outlineLevel="0" collapsed="false">
      <c r="A17" s="10" t="s">
        <v>98</v>
      </c>
      <c r="B17" s="10" t="s">
        <v>25</v>
      </c>
      <c r="C17" s="10" t="n">
        <v>2023</v>
      </c>
      <c r="D17" s="10" t="n">
        <v>4</v>
      </c>
      <c r="E17" s="15" t="n">
        <v>202570</v>
      </c>
      <c r="F17" s="7" t="s">
        <v>100</v>
      </c>
      <c r="G17" s="7" t="s">
        <v>101</v>
      </c>
      <c r="H17" s="15" t="n">
        <v>180162</v>
      </c>
      <c r="I17" s="7" t="s">
        <v>665</v>
      </c>
      <c r="J17" s="7" t="s">
        <v>101</v>
      </c>
      <c r="K17" s="15" t="n">
        <v>181764</v>
      </c>
      <c r="L17" s="7" t="s">
        <v>666</v>
      </c>
      <c r="M17" s="7" t="s">
        <v>101</v>
      </c>
      <c r="N17" s="15" t="n">
        <v>41898</v>
      </c>
      <c r="O17" s="7" t="s">
        <v>667</v>
      </c>
      <c r="P17" s="7" t="s">
        <v>101</v>
      </c>
      <c r="Q17" s="15" t="n">
        <v>33285</v>
      </c>
      <c r="R17" s="7" t="s">
        <v>668</v>
      </c>
      <c r="S17" s="7" t="s">
        <v>101</v>
      </c>
      <c r="T17" s="15" t="n">
        <v>114919</v>
      </c>
      <c r="U17" s="7" t="s">
        <v>669</v>
      </c>
      <c r="V17" s="7" t="s">
        <v>101</v>
      </c>
      <c r="W17" s="15" t="n">
        <v>110020</v>
      </c>
      <c r="X17" s="7" t="s">
        <v>670</v>
      </c>
      <c r="Y17" s="7" t="s">
        <v>101</v>
      </c>
      <c r="Z17" s="15" t="n">
        <v>24490</v>
      </c>
      <c r="AA17" s="7" t="s">
        <v>671</v>
      </c>
      <c r="AB17" s="7" t="s">
        <v>101</v>
      </c>
      <c r="AC17" s="15" t="n">
        <v>17259</v>
      </c>
      <c r="AD17" s="7" t="s">
        <v>672</v>
      </c>
      <c r="AE17" s="7" t="s">
        <v>101</v>
      </c>
      <c r="AF17" s="15" t="n">
        <v>-1145</v>
      </c>
      <c r="AG17" s="7" t="s">
        <v>673</v>
      </c>
      <c r="AH17" s="7" t="s">
        <v>101</v>
      </c>
      <c r="AI17" s="15" t="n">
        <v>21200</v>
      </c>
      <c r="AJ17" s="7" t="s">
        <v>171</v>
      </c>
      <c r="AK17" s="7" t="s">
        <v>101</v>
      </c>
      <c r="AL17" s="16" t="n">
        <f aca="false">H17/E17</f>
        <v>0.889381448388212</v>
      </c>
      <c r="AM17" s="16" t="n">
        <f aca="false">K17/E17</f>
        <v>0.897289825739251</v>
      </c>
      <c r="AN17" s="16" t="n">
        <f aca="false">N17/E17</f>
        <v>0.20683220615096</v>
      </c>
      <c r="AO17" s="16" t="n">
        <f aca="false">Q17/E17</f>
        <v>0.164313570617564</v>
      </c>
      <c r="AP17" s="16" t="n">
        <f aca="false">T17/E17</f>
        <v>0.567305129091178</v>
      </c>
      <c r="AQ17" s="16" t="n">
        <f aca="false">W17/E17</f>
        <v>0.543120896480229</v>
      </c>
      <c r="AR17" s="16" t="n">
        <f aca="false">Z17/E17</f>
        <v>0.120896480229057</v>
      </c>
      <c r="AS17" s="16" t="n">
        <f aca="false">AC17/E17</f>
        <v>0.085200177716345</v>
      </c>
      <c r="AT17" s="16" t="n">
        <f aca="false">AF17/E17</f>
        <v>-0.00565236708298366</v>
      </c>
      <c r="AU17" s="16" t="n">
        <f aca="false">AI17/E17</f>
        <v>0.104655180925112</v>
      </c>
      <c r="AV17" s="16" t="n">
        <f aca="false">AM17-AM30</f>
        <v>-0.000834733151792833</v>
      </c>
      <c r="AW17" s="16" t="n">
        <f aca="false">AO17-AO30</f>
        <v>0.00292696388461422</v>
      </c>
      <c r="AX17" s="16" t="n">
        <f aca="false">AQ17-AQ30</f>
        <v>-0.0228785964586015</v>
      </c>
      <c r="AY17" s="16" t="n">
        <f aca="false">AS17-AS30</f>
        <v>-0.00111807854140655</v>
      </c>
      <c r="AZ17" s="16" t="n">
        <f aca="false">AU17-AU30</f>
        <v>0.020234977963601</v>
      </c>
    </row>
    <row r="18" customFormat="false" ht="15" hidden="false" customHeight="false" outlineLevel="0" collapsed="false">
      <c r="A18" s="10" t="s">
        <v>103</v>
      </c>
      <c r="B18" s="10" t="s">
        <v>25</v>
      </c>
      <c r="C18" s="10" t="n">
        <v>2024</v>
      </c>
      <c r="D18" s="10" t="n">
        <v>1</v>
      </c>
      <c r="E18" s="15" t="n">
        <v>216913</v>
      </c>
      <c r="F18" s="7" t="s">
        <v>105</v>
      </c>
      <c r="G18" s="7" t="s">
        <v>106</v>
      </c>
      <c r="H18" s="15" t="n">
        <v>193459</v>
      </c>
      <c r="I18" s="7" t="s">
        <v>674</v>
      </c>
      <c r="J18" s="7" t="s">
        <v>106</v>
      </c>
      <c r="K18" s="15" t="n">
        <v>194703</v>
      </c>
      <c r="L18" s="7" t="s">
        <v>675</v>
      </c>
      <c r="M18" s="7" t="s">
        <v>106</v>
      </c>
      <c r="N18" s="15" t="n">
        <v>44423</v>
      </c>
      <c r="O18" s="7" t="s">
        <v>676</v>
      </c>
      <c r="P18" s="7" t="s">
        <v>106</v>
      </c>
      <c r="Q18" s="15" t="n">
        <v>34797</v>
      </c>
      <c r="R18" s="7" t="s">
        <v>677</v>
      </c>
      <c r="S18" s="7" t="s">
        <v>106</v>
      </c>
      <c r="T18" s="15" t="n">
        <v>128141</v>
      </c>
      <c r="U18" s="7" t="s">
        <v>678</v>
      </c>
      <c r="V18" s="7" t="s">
        <v>106</v>
      </c>
      <c r="W18" s="15" t="n">
        <v>120806</v>
      </c>
      <c r="X18" s="7" t="s">
        <v>679</v>
      </c>
      <c r="Y18" s="7" t="s">
        <v>106</v>
      </c>
      <c r="Z18" s="15" t="n">
        <v>25917</v>
      </c>
      <c r="AA18" s="7" t="s">
        <v>680</v>
      </c>
      <c r="AB18" s="7" t="s">
        <v>106</v>
      </c>
      <c r="AC18" s="15" t="n">
        <v>17579</v>
      </c>
      <c r="AD18" s="7" t="s">
        <v>681</v>
      </c>
      <c r="AE18" s="7" t="s">
        <v>106</v>
      </c>
      <c r="AF18" s="15" t="n">
        <v>-5022</v>
      </c>
      <c r="AG18" s="7" t="s">
        <v>682</v>
      </c>
      <c r="AH18" s="7" t="s">
        <v>106</v>
      </c>
      <c r="AI18" s="15" t="n">
        <v>21521</v>
      </c>
      <c r="AJ18" s="7" t="s">
        <v>173</v>
      </c>
      <c r="AK18" s="7" t="s">
        <v>106</v>
      </c>
      <c r="AL18" s="16" t="n">
        <f aca="false">H18/E18</f>
        <v>0.891873700515875</v>
      </c>
      <c r="AM18" s="16" t="n">
        <f aca="false">K18/E18</f>
        <v>0.89760871870289</v>
      </c>
      <c r="AN18" s="16" t="n">
        <f aca="false">N18/E18</f>
        <v>0.204796393023931</v>
      </c>
      <c r="AO18" s="16" t="n">
        <f aca="false">Q18/E18</f>
        <v>0.160419154223122</v>
      </c>
      <c r="AP18" s="16" t="n">
        <f aca="false">T18/E18</f>
        <v>0.590748364551687</v>
      </c>
      <c r="AQ18" s="16" t="n">
        <f aca="false">W18/E18</f>
        <v>0.556932963907189</v>
      </c>
      <c r="AR18" s="16" t="n">
        <f aca="false">Z18/E18</f>
        <v>0.119481082277226</v>
      </c>
      <c r="AS18" s="16" t="n">
        <f aca="false">AC18/E18</f>
        <v>0.0810417079658665</v>
      </c>
      <c r="AT18" s="16" t="n">
        <f aca="false">AF18/E18</f>
        <v>-0.0231521393369692</v>
      </c>
      <c r="AU18" s="16" t="n">
        <f aca="false">AI18/E18</f>
        <v>0.0992148926067133</v>
      </c>
      <c r="AV18" s="16" t="n">
        <f aca="false">AM18-AM31</f>
        <v>-0.0025059938213513</v>
      </c>
      <c r="AW18" s="16" t="n">
        <f aca="false">AO18-AO31</f>
        <v>-0.00698294146667092</v>
      </c>
      <c r="AX18" s="16" t="n">
        <f aca="false">AQ18-AQ31</f>
        <v>0.0428624182768098</v>
      </c>
      <c r="AY18" s="16" t="n">
        <f aca="false">AS18-AS31</f>
        <v>-0.00140316057769596</v>
      </c>
      <c r="AZ18" s="16" t="n">
        <f aca="false">AU18-AU31</f>
        <v>-0.0369823100537942</v>
      </c>
    </row>
    <row r="19" customFormat="false" ht="15" hidden="false" customHeight="false" outlineLevel="0" collapsed="false">
      <c r="A19" s="10" t="s">
        <v>108</v>
      </c>
      <c r="B19" s="10" t="s">
        <v>25</v>
      </c>
      <c r="C19" s="10" t="n">
        <v>2024</v>
      </c>
      <c r="D19" s="10" t="n">
        <v>2</v>
      </c>
      <c r="E19" s="15" t="n">
        <v>236106</v>
      </c>
      <c r="F19" s="7" t="s">
        <v>110</v>
      </c>
      <c r="G19" s="7" t="s">
        <v>111</v>
      </c>
      <c r="H19" s="15" t="n">
        <v>212343</v>
      </c>
      <c r="I19" s="7" t="s">
        <v>683</v>
      </c>
      <c r="J19" s="7" t="s">
        <v>111</v>
      </c>
      <c r="K19" s="15" t="n">
        <v>214215</v>
      </c>
      <c r="L19" s="7" t="s">
        <v>684</v>
      </c>
      <c r="M19" s="7" t="s">
        <v>111</v>
      </c>
      <c r="N19" s="15" t="n">
        <v>50445</v>
      </c>
      <c r="O19" s="7" t="s">
        <v>685</v>
      </c>
      <c r="P19" s="7" t="s">
        <v>111</v>
      </c>
      <c r="Q19" s="15" t="n">
        <v>36878</v>
      </c>
      <c r="R19" s="7" t="s">
        <v>686</v>
      </c>
      <c r="S19" s="7" t="s">
        <v>111</v>
      </c>
      <c r="T19" s="15" t="n">
        <v>131471</v>
      </c>
      <c r="U19" s="7" t="s">
        <v>687</v>
      </c>
      <c r="V19" s="7" t="s">
        <v>111</v>
      </c>
      <c r="W19" s="15" t="n">
        <v>120738</v>
      </c>
      <c r="X19" s="7" t="s">
        <v>688</v>
      </c>
      <c r="Y19" s="7" t="s">
        <v>111</v>
      </c>
      <c r="Z19" s="15" t="n">
        <v>28633</v>
      </c>
      <c r="AA19" s="7" t="s">
        <v>689</v>
      </c>
      <c r="AB19" s="7" t="s">
        <v>111</v>
      </c>
      <c r="AC19" s="15" t="n">
        <v>18182</v>
      </c>
      <c r="AD19" s="7" t="s">
        <v>690</v>
      </c>
      <c r="AE19" s="7" t="s">
        <v>111</v>
      </c>
      <c r="AF19" s="15" t="n">
        <v>1794</v>
      </c>
      <c r="AG19" s="7" t="s">
        <v>691</v>
      </c>
      <c r="AH19" s="7" t="s">
        <v>111</v>
      </c>
      <c r="AI19" s="15" t="n">
        <v>38417</v>
      </c>
      <c r="AJ19" s="7" t="s">
        <v>175</v>
      </c>
      <c r="AK19" s="7" t="s">
        <v>111</v>
      </c>
      <c r="AL19" s="16" t="n">
        <f aca="false">H19/E19</f>
        <v>0.899354527203883</v>
      </c>
      <c r="AM19" s="16" t="n">
        <f aca="false">K19/E19</f>
        <v>0.907283169423903</v>
      </c>
      <c r="AN19" s="16" t="n">
        <f aca="false">N19/E19</f>
        <v>0.213654036746207</v>
      </c>
      <c r="AO19" s="16" t="n">
        <f aca="false">Q19/E19</f>
        <v>0.15619255758007</v>
      </c>
      <c r="AP19" s="16" t="n">
        <f aca="false">T19/E19</f>
        <v>0.556830406681745</v>
      </c>
      <c r="AQ19" s="16" t="n">
        <f aca="false">W19/E19</f>
        <v>0.511372010876471</v>
      </c>
      <c r="AR19" s="16" t="n">
        <f aca="false">Z19/E19</f>
        <v>0.121271801648412</v>
      </c>
      <c r="AS19" s="16" t="n">
        <f aca="false">AC19/E19</f>
        <v>0.0770077846391028</v>
      </c>
      <c r="AT19" s="16" t="n">
        <f aca="false">AF19/E19</f>
        <v>0.007598282127519</v>
      </c>
      <c r="AU19" s="16" t="n">
        <f aca="false">AI19/E19</f>
        <v>0.162710816328259</v>
      </c>
      <c r="AV19" s="16" t="n">
        <f aca="false">AM19-AM31</f>
        <v>0.0071684568996615</v>
      </c>
      <c r="AW19" s="16" t="n">
        <f aca="false">AO19-AO31</f>
        <v>-0.0112095381097227</v>
      </c>
      <c r="AX19" s="16" t="n">
        <f aca="false">AQ19-AQ31</f>
        <v>-0.00269853475390802</v>
      </c>
      <c r="AY19" s="16" t="n">
        <f aca="false">AS19-AS31</f>
        <v>-0.00543708390445968</v>
      </c>
      <c r="AZ19" s="16" t="n">
        <f aca="false">AU19-AU31</f>
        <v>0.0265136136677518</v>
      </c>
    </row>
    <row r="20" customFormat="false" ht="15" hidden="false" customHeight="false" outlineLevel="0" collapsed="false">
      <c r="A20" s="10" t="s">
        <v>113</v>
      </c>
      <c r="B20" s="10" t="s">
        <v>25</v>
      </c>
      <c r="C20" s="10" t="n">
        <v>2024</v>
      </c>
      <c r="D20" s="10" t="n">
        <v>3</v>
      </c>
      <c r="E20" s="15" t="n">
        <v>251000</v>
      </c>
      <c r="F20" s="7" t="s">
        <v>115</v>
      </c>
      <c r="G20" s="7" t="s">
        <v>116</v>
      </c>
      <c r="H20" s="15" t="n">
        <v>225028</v>
      </c>
      <c r="I20" s="7" t="s">
        <v>692</v>
      </c>
      <c r="J20" s="7" t="s">
        <v>116</v>
      </c>
      <c r="K20" s="15" t="n">
        <v>226909</v>
      </c>
      <c r="L20" s="7" t="s">
        <v>693</v>
      </c>
      <c r="M20" s="7" t="s">
        <v>116</v>
      </c>
      <c r="N20" s="15" t="n">
        <v>56509</v>
      </c>
      <c r="O20" s="7" t="s">
        <v>694</v>
      </c>
      <c r="P20" s="7" t="s">
        <v>116</v>
      </c>
      <c r="Q20" s="15" t="n">
        <v>42973</v>
      </c>
      <c r="R20" s="7" t="s">
        <v>695</v>
      </c>
      <c r="S20" s="7" t="s">
        <v>116</v>
      </c>
      <c r="T20" s="15" t="n">
        <v>140284</v>
      </c>
      <c r="U20" s="7" t="s">
        <v>696</v>
      </c>
      <c r="V20" s="7" t="s">
        <v>116</v>
      </c>
      <c r="W20" s="15" t="n">
        <v>130339</v>
      </c>
      <c r="X20" s="7" t="s">
        <v>697</v>
      </c>
      <c r="Y20" s="7" t="s">
        <v>116</v>
      </c>
      <c r="Z20" s="15" t="n">
        <v>55637</v>
      </c>
      <c r="AA20" s="7" t="s">
        <v>698</v>
      </c>
      <c r="AB20" s="7" t="s">
        <v>116</v>
      </c>
      <c r="AC20" s="15" t="n">
        <v>21417</v>
      </c>
      <c r="AD20" s="7" t="s">
        <v>699</v>
      </c>
      <c r="AE20" s="7" t="s">
        <v>116</v>
      </c>
      <c r="AF20" s="15" t="n">
        <v>-27402</v>
      </c>
      <c r="AG20" s="7" t="s">
        <v>700</v>
      </c>
      <c r="AH20" s="7" t="s">
        <v>116</v>
      </c>
      <c r="AI20" s="15" t="n">
        <v>32180</v>
      </c>
      <c r="AJ20" s="7" t="s">
        <v>177</v>
      </c>
      <c r="AK20" s="7" t="s">
        <v>116</v>
      </c>
      <c r="AL20" s="16" t="n">
        <f aca="false">H20/E20</f>
        <v>0.896525896414343</v>
      </c>
      <c r="AM20" s="16" t="n">
        <f aca="false">K20/E20</f>
        <v>0.904019920318725</v>
      </c>
      <c r="AN20" s="16" t="n">
        <f aca="false">N20/E20</f>
        <v>0.225135458167331</v>
      </c>
      <c r="AO20" s="16" t="n">
        <f aca="false">Q20/E20</f>
        <v>0.171207171314741</v>
      </c>
      <c r="AP20" s="16" t="n">
        <f aca="false">T20/E20</f>
        <v>0.558900398406375</v>
      </c>
      <c r="AQ20" s="16" t="n">
        <f aca="false">W20/E20</f>
        <v>0.519278884462151</v>
      </c>
      <c r="AR20" s="16" t="n">
        <f aca="false">Z20/E20</f>
        <v>0.221661354581673</v>
      </c>
      <c r="AS20" s="16" t="n">
        <f aca="false">AC20/E20</f>
        <v>0.0853266932270916</v>
      </c>
      <c r="AT20" s="16" t="n">
        <f aca="false">AF20/E20</f>
        <v>-0.109171314741036</v>
      </c>
      <c r="AU20" s="16" t="n">
        <f aca="false">AI20/E20</f>
        <v>0.128207171314741</v>
      </c>
      <c r="AV20" s="16" t="n">
        <f aca="false">AM20-AM31</f>
        <v>0.00390520779448378</v>
      </c>
      <c r="AW20" s="16" t="n">
        <f aca="false">AO20-AO31</f>
        <v>0.00380507562494839</v>
      </c>
      <c r="AX20" s="16" t="n">
        <f aca="false">AQ20-AQ31</f>
        <v>0.00520833883177263</v>
      </c>
      <c r="AY20" s="16" t="n">
        <f aca="false">AS20-AS31</f>
        <v>0.00288182468352917</v>
      </c>
      <c r="AZ20" s="16" t="n">
        <f aca="false">AU20-AU31</f>
        <v>-0.00799003134576645</v>
      </c>
    </row>
    <row r="21" customFormat="false" ht="15" hidden="false" customHeight="false" outlineLevel="0" collapsed="false">
      <c r="A21" s="10" t="s">
        <v>117</v>
      </c>
      <c r="B21" s="10" t="s">
        <v>25</v>
      </c>
      <c r="C21" s="10" t="n">
        <v>2024</v>
      </c>
      <c r="D21" s="10" t="n">
        <v>4</v>
      </c>
      <c r="E21" s="15" t="n">
        <v>267976</v>
      </c>
      <c r="F21" s="7" t="s">
        <v>119</v>
      </c>
      <c r="G21" s="7" t="s">
        <v>120</v>
      </c>
      <c r="H21" s="15" t="n">
        <v>237474</v>
      </c>
      <c r="I21" s="7" t="s">
        <v>701</v>
      </c>
      <c r="J21" s="7" t="s">
        <v>120</v>
      </c>
      <c r="K21" s="15" t="n">
        <v>239080</v>
      </c>
      <c r="L21" s="7" t="s">
        <v>702</v>
      </c>
      <c r="M21" s="7" t="s">
        <v>120</v>
      </c>
      <c r="N21" s="15" t="n">
        <v>62332</v>
      </c>
      <c r="O21" s="7" t="s">
        <v>703</v>
      </c>
      <c r="P21" s="7" t="s">
        <v>120</v>
      </c>
      <c r="Q21" s="15" t="n">
        <v>48066</v>
      </c>
      <c r="R21" s="7" t="s">
        <v>704</v>
      </c>
      <c r="S21" s="7" t="s">
        <v>120</v>
      </c>
      <c r="T21" s="15" t="n">
        <v>133643</v>
      </c>
      <c r="U21" s="7" t="s">
        <v>705</v>
      </c>
      <c r="V21" s="7" t="s">
        <v>120</v>
      </c>
      <c r="W21" s="15" t="n">
        <v>127791</v>
      </c>
      <c r="X21" s="7" t="s">
        <v>706</v>
      </c>
      <c r="Y21" s="7" t="s">
        <v>120</v>
      </c>
      <c r="Z21" s="15" t="n">
        <v>31903</v>
      </c>
      <c r="AA21" s="7" t="s">
        <v>707</v>
      </c>
      <c r="AB21" s="7" t="s">
        <v>120</v>
      </c>
      <c r="AC21" s="15" t="n">
        <v>22958</v>
      </c>
      <c r="AD21" s="7" t="s">
        <v>708</v>
      </c>
      <c r="AE21" s="7" t="s">
        <v>120</v>
      </c>
      <c r="AF21" s="15" t="n">
        <v>9596</v>
      </c>
      <c r="AG21" s="7" t="s">
        <v>709</v>
      </c>
      <c r="AH21" s="7" t="s">
        <v>120</v>
      </c>
      <c r="AI21" s="15" t="n">
        <v>40265</v>
      </c>
      <c r="AJ21" s="7" t="s">
        <v>179</v>
      </c>
      <c r="AK21" s="7" t="s">
        <v>120</v>
      </c>
      <c r="AL21" s="16" t="n">
        <f aca="false">H21/E21</f>
        <v>0.886176374003642</v>
      </c>
      <c r="AM21" s="16" t="n">
        <f aca="false">K21/E21</f>
        <v>0.89216944801027</v>
      </c>
      <c r="AN21" s="16" t="n">
        <f aca="false">N21/E21</f>
        <v>0.232602919664448</v>
      </c>
      <c r="AO21" s="16" t="n">
        <f aca="false">Q21/E21</f>
        <v>0.179366808967967</v>
      </c>
      <c r="AP21" s="16" t="n">
        <f aca="false">T21/E21</f>
        <v>0.49871257127504</v>
      </c>
      <c r="AQ21" s="16" t="n">
        <f aca="false">W21/E21</f>
        <v>0.47687479475774</v>
      </c>
      <c r="AR21" s="16" t="n">
        <f aca="false">Z21/E21</f>
        <v>0.119051706122936</v>
      </c>
      <c r="AS21" s="16" t="n">
        <f aca="false">AC21/E21</f>
        <v>0.0856718512105562</v>
      </c>
      <c r="AT21" s="16" t="n">
        <f aca="false">AF21/E21</f>
        <v>0.0358091769412186</v>
      </c>
      <c r="AU21" s="16" t="n">
        <f aca="false">AI21/E21</f>
        <v>0.150255993074007</v>
      </c>
      <c r="AV21" s="16" t="n">
        <f aca="false">AM21-AM31</f>
        <v>-0.00794526451397182</v>
      </c>
      <c r="AW21" s="16" t="n">
        <f aca="false">AO21-AO31</f>
        <v>0.0119647132781746</v>
      </c>
      <c r="AX21" s="16" t="n">
        <f aca="false">AQ21-AQ31</f>
        <v>-0.0371957508726393</v>
      </c>
      <c r="AY21" s="16" t="n">
        <f aca="false">AS21-AS31</f>
        <v>0.0032269826669937</v>
      </c>
      <c r="AZ21" s="16" t="n">
        <f aca="false">AU21-AU31</f>
        <v>0.0140587904134991</v>
      </c>
    </row>
    <row r="22" customFormat="false" ht="15" hidden="false" customHeight="false" outlineLevel="0" collapsed="false">
      <c r="A22" s="10" t="s">
        <v>121</v>
      </c>
      <c r="B22" s="10" t="s">
        <v>25</v>
      </c>
      <c r="C22" s="10" t="n">
        <v>2025</v>
      </c>
      <c r="D22" s="10" t="n">
        <v>1</v>
      </c>
      <c r="E22" s="15" t="n">
        <v>282250</v>
      </c>
      <c r="F22" s="7" t="s">
        <v>123</v>
      </c>
      <c r="G22" s="7" t="s">
        <v>124</v>
      </c>
      <c r="H22" s="15" t="n">
        <v>253445</v>
      </c>
      <c r="I22" s="7" t="s">
        <v>710</v>
      </c>
      <c r="J22" s="7" t="s">
        <v>124</v>
      </c>
      <c r="K22" s="15" t="n">
        <v>254579</v>
      </c>
      <c r="L22" s="7" t="s">
        <v>711</v>
      </c>
      <c r="M22" s="7" t="s">
        <v>124</v>
      </c>
      <c r="N22" s="15" t="n">
        <v>69385</v>
      </c>
      <c r="O22" s="7" t="s">
        <v>712</v>
      </c>
      <c r="P22" s="7" t="s">
        <v>124</v>
      </c>
      <c r="Q22" s="15" t="n">
        <v>53844</v>
      </c>
      <c r="R22" s="7" t="s">
        <v>713</v>
      </c>
      <c r="S22" s="7" t="s">
        <v>124</v>
      </c>
      <c r="T22" s="15" t="n">
        <v>141720</v>
      </c>
      <c r="U22" s="7" t="s">
        <v>714</v>
      </c>
      <c r="V22" s="7" t="s">
        <v>124</v>
      </c>
      <c r="W22" s="15" t="n">
        <v>135882</v>
      </c>
      <c r="X22" s="7" t="s">
        <v>715</v>
      </c>
      <c r="Y22" s="7" t="s">
        <v>124</v>
      </c>
      <c r="Z22" s="15" t="n">
        <v>32544</v>
      </c>
      <c r="AA22" s="7" t="s">
        <v>716</v>
      </c>
      <c r="AB22" s="7" t="s">
        <v>124</v>
      </c>
      <c r="AC22" s="15" t="n">
        <v>24099</v>
      </c>
      <c r="AD22" s="7" t="s">
        <v>717</v>
      </c>
      <c r="AE22" s="7" t="s">
        <v>124</v>
      </c>
      <c r="AF22" s="15" t="n">
        <v>9796</v>
      </c>
      <c r="AG22" s="7" t="s">
        <v>718</v>
      </c>
      <c r="AH22" s="7" t="s">
        <v>124</v>
      </c>
      <c r="AI22" s="15" t="n">
        <v>40754</v>
      </c>
      <c r="AJ22" s="7" t="s">
        <v>181</v>
      </c>
      <c r="AK22" s="7" t="s">
        <v>124</v>
      </c>
      <c r="AL22" s="16" t="n">
        <f aca="false">H22/E22</f>
        <v>0.897945084145261</v>
      </c>
      <c r="AM22" s="16" t="n">
        <f aca="false">K22/E22</f>
        <v>0.901962798937113</v>
      </c>
      <c r="AN22" s="16" t="n">
        <f aca="false">N22/E22</f>
        <v>0.245828166519043</v>
      </c>
      <c r="AO22" s="16" t="n">
        <f aca="false">Q22/E22</f>
        <v>0.190767050487157</v>
      </c>
      <c r="AP22" s="16" t="n">
        <f aca="false">T22/E22</f>
        <v>0.502108060230292</v>
      </c>
      <c r="AQ22" s="16" t="n">
        <f aca="false">W22/E22</f>
        <v>0.481424269264836</v>
      </c>
      <c r="AR22" s="16" t="n">
        <f aca="false">Z22/E22</f>
        <v>0.115302037201063</v>
      </c>
      <c r="AS22" s="16" t="n">
        <f aca="false">AC22/E22</f>
        <v>0.0853817537643933</v>
      </c>
      <c r="AT22" s="16" t="n">
        <f aca="false">AF22/E22</f>
        <v>0.0347068201948627</v>
      </c>
      <c r="AU22" s="16" t="n">
        <f aca="false">AI22/E22</f>
        <v>0.144389725420726</v>
      </c>
      <c r="AV22" s="16" t="n">
        <f aca="false">AM22-AM32</f>
        <v>0.00304908404981974</v>
      </c>
      <c r="AW22" s="16" t="n">
        <f aca="false">AO22-AO32</f>
        <v>-0.002860856074304</v>
      </c>
      <c r="AX22" s="16" t="n">
        <f aca="false">AQ22-AQ32</f>
        <v>0.00515119392455526</v>
      </c>
      <c r="AY22" s="16" t="n">
        <f aca="false">AS22-AS32</f>
        <v>-0.00137170423915707</v>
      </c>
      <c r="AZ22" s="16" t="n">
        <f aca="false">AU22-AU32</f>
        <v>0.00213045043872553</v>
      </c>
    </row>
    <row r="23" customFormat="false" ht="15" hidden="false" customHeight="false" outlineLevel="0" collapsed="false">
      <c r="A23" s="10" t="s">
        <v>125</v>
      </c>
      <c r="B23" s="10" t="s">
        <v>25</v>
      </c>
      <c r="C23" s="10" t="n">
        <v>2025</v>
      </c>
      <c r="D23" s="10" t="n">
        <v>2</v>
      </c>
      <c r="E23" s="15" t="n">
        <v>299014</v>
      </c>
      <c r="F23" s="7" t="s">
        <v>127</v>
      </c>
      <c r="G23" s="7" t="s">
        <v>128</v>
      </c>
      <c r="H23" s="15" t="n">
        <v>267841</v>
      </c>
      <c r="I23" s="7" t="s">
        <v>719</v>
      </c>
      <c r="J23" s="7" t="s">
        <v>128</v>
      </c>
      <c r="K23" s="15" t="n">
        <v>270113</v>
      </c>
      <c r="L23" s="7" t="s">
        <v>720</v>
      </c>
      <c r="M23" s="7" t="s">
        <v>128</v>
      </c>
      <c r="N23" s="15" t="n">
        <v>87039</v>
      </c>
      <c r="O23" s="7" t="s">
        <v>721</v>
      </c>
      <c r="P23" s="7" t="s">
        <v>128</v>
      </c>
      <c r="Q23" s="15" t="n">
        <v>59233</v>
      </c>
      <c r="R23" s="7" t="s">
        <v>722</v>
      </c>
      <c r="S23" s="7" t="s">
        <v>128</v>
      </c>
      <c r="T23" s="15" t="n">
        <v>152590</v>
      </c>
      <c r="U23" s="7" t="s">
        <v>723</v>
      </c>
      <c r="V23" s="7" t="s">
        <v>128</v>
      </c>
      <c r="W23" s="15" t="n">
        <v>139223</v>
      </c>
      <c r="X23" s="7" t="s">
        <v>724</v>
      </c>
      <c r="Y23" s="7" t="s">
        <v>128</v>
      </c>
      <c r="Z23" s="15" t="n">
        <v>39763</v>
      </c>
      <c r="AA23" s="7" t="s">
        <v>725</v>
      </c>
      <c r="AB23" s="7" t="s">
        <v>128</v>
      </c>
      <c r="AC23" s="15" t="n">
        <v>26563</v>
      </c>
      <c r="AD23" s="7" t="s">
        <v>726</v>
      </c>
      <c r="AE23" s="7" t="s">
        <v>128</v>
      </c>
      <c r="AF23" s="15" t="n">
        <v>-11551</v>
      </c>
      <c r="AG23" s="7" t="s">
        <v>727</v>
      </c>
      <c r="AH23" s="7" t="s">
        <v>128</v>
      </c>
      <c r="AI23" s="15" t="n">
        <v>45094</v>
      </c>
      <c r="AJ23" s="7" t="s">
        <v>183</v>
      </c>
      <c r="AK23" s="7" t="s">
        <v>128</v>
      </c>
      <c r="AL23" s="16" t="n">
        <f aca="false">H23/E23</f>
        <v>0.895747356311076</v>
      </c>
      <c r="AM23" s="16" t="n">
        <f aca="false">K23/E23</f>
        <v>0.903345662744888</v>
      </c>
      <c r="AN23" s="16" t="n">
        <f aca="false">N23/E23</f>
        <v>0.291086704970336</v>
      </c>
      <c r="AO23" s="16" t="n">
        <f aca="false">Q23/E23</f>
        <v>0.19809440360652</v>
      </c>
      <c r="AP23" s="16" t="n">
        <f aca="false">T23/E23</f>
        <v>0.510310554020882</v>
      </c>
      <c r="AQ23" s="16" t="n">
        <f aca="false">W23/E23</f>
        <v>0.465606961546951</v>
      </c>
      <c r="AR23" s="16" t="n">
        <f aca="false">Z23/E23</f>
        <v>0.132980395566763</v>
      </c>
      <c r="AS23" s="16" t="n">
        <f aca="false">AC23/E23</f>
        <v>0.0888353053703171</v>
      </c>
      <c r="AT23" s="16" t="n">
        <f aca="false">AF23/E23</f>
        <v>-0.0386302982469048</v>
      </c>
      <c r="AU23" s="16" t="n">
        <f aca="false">AI23/E23</f>
        <v>0.1508089922211</v>
      </c>
      <c r="AV23" s="16" t="n">
        <f aca="false">AM23-AM32</f>
        <v>0.00443194785759538</v>
      </c>
      <c r="AW23" s="16" t="n">
        <f aca="false">AO23-AO32</f>
        <v>0.0044664970450593</v>
      </c>
      <c r="AX23" s="16" t="n">
        <f aca="false">AQ23-AQ32</f>
        <v>-0.0106661137933299</v>
      </c>
      <c r="AY23" s="16" t="n">
        <f aca="false">AS23-AS32</f>
        <v>0.00208184736676678</v>
      </c>
      <c r="AZ23" s="16" t="n">
        <f aca="false">AU23-AU32</f>
        <v>0.00854971723909923</v>
      </c>
    </row>
    <row r="24" customFormat="false" ht="15" hidden="false" customHeight="false" outlineLevel="0" collapsed="false">
      <c r="A24" s="10" t="s">
        <v>129</v>
      </c>
      <c r="B24" s="10" t="s">
        <v>25</v>
      </c>
      <c r="C24" s="10" t="n">
        <v>2025</v>
      </c>
      <c r="D24" s="10" t="n">
        <v>3</v>
      </c>
      <c r="E24" s="15" t="n">
        <v>316855</v>
      </c>
      <c r="F24" s="7" t="s">
        <v>131</v>
      </c>
      <c r="G24" s="7" t="s">
        <v>132</v>
      </c>
      <c r="H24" s="15" t="n">
        <v>281067</v>
      </c>
      <c r="I24" s="7" t="s">
        <v>728</v>
      </c>
      <c r="J24" s="7" t="s">
        <v>132</v>
      </c>
      <c r="K24" s="15" t="n">
        <v>284031</v>
      </c>
      <c r="L24" s="7" t="s">
        <v>729</v>
      </c>
      <c r="M24" s="7" t="s">
        <v>132</v>
      </c>
      <c r="N24" s="15" t="n">
        <v>79453</v>
      </c>
      <c r="O24" s="7" t="s">
        <v>730</v>
      </c>
      <c r="P24" s="7" t="s">
        <v>132</v>
      </c>
      <c r="Q24" s="15" t="n">
        <v>57772</v>
      </c>
      <c r="R24" s="7" t="s">
        <v>731</v>
      </c>
      <c r="S24" s="7" t="s">
        <v>132</v>
      </c>
      <c r="T24" s="15" t="n">
        <v>165808</v>
      </c>
      <c r="U24" s="7" t="s">
        <v>732</v>
      </c>
      <c r="V24" s="7" t="s">
        <v>132</v>
      </c>
      <c r="W24" s="15" t="n">
        <v>151804</v>
      </c>
      <c r="X24" s="7" t="s">
        <v>733</v>
      </c>
      <c r="Y24" s="7" t="s">
        <v>132</v>
      </c>
      <c r="Z24" s="15" t="n">
        <v>38184</v>
      </c>
      <c r="AA24" s="7" t="s">
        <v>734</v>
      </c>
      <c r="AB24" s="7" t="s">
        <v>132</v>
      </c>
      <c r="AC24" s="15" t="n">
        <v>26971</v>
      </c>
      <c r="AD24" s="7" t="s">
        <v>735</v>
      </c>
      <c r="AE24" s="7" t="s">
        <v>132</v>
      </c>
      <c r="AF24" s="15" t="n">
        <v>-2378</v>
      </c>
      <c r="AG24" s="7" t="s">
        <v>736</v>
      </c>
      <c r="AH24" s="7" t="s">
        <v>132</v>
      </c>
      <c r="AI24" s="15" t="n">
        <v>47484</v>
      </c>
      <c r="AJ24" s="7" t="s">
        <v>185</v>
      </c>
      <c r="AK24" s="7" t="s">
        <v>132</v>
      </c>
      <c r="AL24" s="16" t="n">
        <f aca="false">H24/E24</f>
        <v>0.887052437234697</v>
      </c>
      <c r="AM24" s="16" t="n">
        <f aca="false">K24/E24</f>
        <v>0.896406873806631</v>
      </c>
      <c r="AN24" s="16" t="n">
        <f aca="false">N24/E24</f>
        <v>0.250755077243534</v>
      </c>
      <c r="AO24" s="16" t="n">
        <f aca="false">Q24/E24</f>
        <v>0.182329456691547</v>
      </c>
      <c r="AP24" s="16" t="n">
        <f aca="false">T24/E24</f>
        <v>0.523292988906598</v>
      </c>
      <c r="AQ24" s="16" t="n">
        <f aca="false">W24/E24</f>
        <v>0.479096116520175</v>
      </c>
      <c r="AR24" s="16" t="n">
        <f aca="false">Z24/E24</f>
        <v>0.120509381262723</v>
      </c>
      <c r="AS24" s="16" t="n">
        <f aca="false">AC24/E24</f>
        <v>0.0851209543797636</v>
      </c>
      <c r="AT24" s="16" t="n">
        <f aca="false">AF24/E24</f>
        <v>-0.0075050101781572</v>
      </c>
      <c r="AU24" s="16" t="n">
        <f aca="false">AI24/E24</f>
        <v>0.149860346215146</v>
      </c>
      <c r="AV24" s="16" t="n">
        <f aca="false">AM24-AM32</f>
        <v>-0.00250684108066201</v>
      </c>
      <c r="AW24" s="16" t="n">
        <f aca="false">AO24-AO32</f>
        <v>-0.0112984498699142</v>
      </c>
      <c r="AX24" s="16" t="n">
        <f aca="false">AQ24-AQ32</f>
        <v>0.00282304117989401</v>
      </c>
      <c r="AY24" s="16" t="n">
        <f aca="false">AS24-AS32</f>
        <v>-0.00163250362378672</v>
      </c>
      <c r="AZ24" s="16" t="n">
        <f aca="false">AU24-AU32</f>
        <v>0.00760107123314496</v>
      </c>
    </row>
    <row r="25" customFormat="false" ht="15" hidden="false" customHeight="false" outlineLevel="0" collapsed="false">
      <c r="A25" s="10" t="s">
        <v>133</v>
      </c>
      <c r="B25" s="10" t="s">
        <v>25</v>
      </c>
      <c r="C25" s="10" t="n">
        <v>2025</v>
      </c>
      <c r="D25" s="10" t="n">
        <v>4</v>
      </c>
      <c r="E25" s="15" t="n">
        <v>333878</v>
      </c>
      <c r="F25" s="7" t="s">
        <v>135</v>
      </c>
      <c r="G25" s="7" t="s">
        <v>136</v>
      </c>
      <c r="H25" s="15" t="n">
        <v>296545</v>
      </c>
      <c r="I25" s="7" t="s">
        <v>737</v>
      </c>
      <c r="J25" s="7" t="s">
        <v>136</v>
      </c>
      <c r="K25" s="15" t="n">
        <v>298736</v>
      </c>
      <c r="L25" s="7" t="s">
        <v>738</v>
      </c>
      <c r="M25" s="7" t="s">
        <v>136</v>
      </c>
      <c r="N25" s="15" t="n">
        <v>84922</v>
      </c>
      <c r="O25" s="7" t="s">
        <v>739</v>
      </c>
      <c r="P25" s="7" t="s">
        <v>136</v>
      </c>
      <c r="Q25" s="15" t="n">
        <v>67700</v>
      </c>
      <c r="R25" s="7" t="s">
        <v>740</v>
      </c>
      <c r="S25" s="7" t="s">
        <v>136</v>
      </c>
      <c r="T25" s="15" t="n">
        <v>170733</v>
      </c>
      <c r="U25" s="7" t="s">
        <v>741</v>
      </c>
      <c r="V25" s="7" t="s">
        <v>136</v>
      </c>
      <c r="W25" s="15" t="n">
        <v>159858</v>
      </c>
      <c r="X25" s="7" t="s">
        <v>742</v>
      </c>
      <c r="Y25" s="7" t="s">
        <v>136</v>
      </c>
      <c r="Z25" s="15" t="n">
        <v>38505</v>
      </c>
      <c r="AA25" s="7" t="s">
        <v>743</v>
      </c>
      <c r="AB25" s="7" t="s">
        <v>136</v>
      </c>
      <c r="AC25" s="15" t="n">
        <v>29247</v>
      </c>
      <c r="AD25" s="7" t="s">
        <v>744</v>
      </c>
      <c r="AE25" s="7" t="s">
        <v>136</v>
      </c>
      <c r="AF25" s="15" t="n">
        <v>2385</v>
      </c>
      <c r="AG25" s="7" t="s">
        <v>745</v>
      </c>
      <c r="AH25" s="7" t="s">
        <v>136</v>
      </c>
      <c r="AI25" s="15" t="n">
        <v>41931</v>
      </c>
      <c r="AJ25" s="7" t="s">
        <v>187</v>
      </c>
      <c r="AK25" s="7" t="s">
        <v>136</v>
      </c>
      <c r="AL25" s="16" t="n">
        <f aca="false">H25/E25</f>
        <v>0.88818370782142</v>
      </c>
      <c r="AM25" s="16" t="n">
        <f aca="false">K25/E25</f>
        <v>0.894745985060411</v>
      </c>
      <c r="AN25" s="16" t="n">
        <f aca="false">N25/E25</f>
        <v>0.254350391460354</v>
      </c>
      <c r="AO25" s="16" t="n">
        <f aca="false">Q25/E25</f>
        <v>0.202768675983443</v>
      </c>
      <c r="AP25" s="16" t="n">
        <f aca="false">T25/E25</f>
        <v>0.511363432151864</v>
      </c>
      <c r="AQ25" s="16" t="n">
        <f aca="false">W25/E25</f>
        <v>0.478791654436651</v>
      </c>
      <c r="AR25" s="16" t="n">
        <f aca="false">Z25/E25</f>
        <v>0.115326556406831</v>
      </c>
      <c r="AS25" s="16" t="n">
        <f aca="false">AC25/E25</f>
        <v>0.0875978650884455</v>
      </c>
      <c r="AT25" s="16" t="n">
        <f aca="false">AF25/E25</f>
        <v>0.00714332780237093</v>
      </c>
      <c r="AU25" s="16" t="n">
        <f aca="false">AI25/E25</f>
        <v>0.125587789551872</v>
      </c>
      <c r="AV25" s="16" t="n">
        <f aca="false">AM25-AM32</f>
        <v>-0.00416772982688152</v>
      </c>
      <c r="AW25" s="16" t="n">
        <f aca="false">AO25-AO32</f>
        <v>0.00914076942198228</v>
      </c>
      <c r="AX25" s="16" t="n">
        <f aca="false">AQ25-AQ32</f>
        <v>0.00251857909636966</v>
      </c>
      <c r="AY25" s="16" t="n">
        <f aca="false">AS25-AS32</f>
        <v>0.000844407084895152</v>
      </c>
      <c r="AZ25" s="16" t="n">
        <f aca="false">AU25-AU32</f>
        <v>-0.0166714854301285</v>
      </c>
    </row>
    <row r="26" customFormat="false" ht="15" hidden="false" customHeight="false" outlineLevel="0" collapsed="false">
      <c r="A26" s="10" t="s">
        <v>138</v>
      </c>
      <c r="B26" s="10" t="s">
        <v>25</v>
      </c>
      <c r="C26" s="10" t="n">
        <v>2026</v>
      </c>
      <c r="D26" s="10" t="n">
        <v>1</v>
      </c>
      <c r="E26" s="15" t="n">
        <v>351265</v>
      </c>
      <c r="F26" s="7" t="s">
        <v>140</v>
      </c>
      <c r="G26" s="7" t="s">
        <v>141</v>
      </c>
      <c r="H26" s="15" t="n">
        <v>313141</v>
      </c>
      <c r="I26" s="7" t="s">
        <v>746</v>
      </c>
      <c r="J26" s="7" t="s">
        <v>141</v>
      </c>
      <c r="K26" s="15" t="n">
        <v>314190</v>
      </c>
      <c r="L26" s="7" t="s">
        <v>747</v>
      </c>
      <c r="M26" s="7" t="s">
        <v>141</v>
      </c>
      <c r="N26" s="15" t="n">
        <v>92020</v>
      </c>
      <c r="O26" s="7" t="s">
        <v>748</v>
      </c>
      <c r="P26" s="7" t="s">
        <v>141</v>
      </c>
      <c r="Q26" s="15" t="n">
        <v>78413</v>
      </c>
      <c r="R26" s="7" t="s">
        <v>749</v>
      </c>
      <c r="S26" s="7" t="s">
        <v>141</v>
      </c>
      <c r="T26" s="15" t="n">
        <v>165395</v>
      </c>
      <c r="U26" s="7" t="s">
        <v>750</v>
      </c>
      <c r="V26" s="7" t="s">
        <v>141</v>
      </c>
      <c r="W26" s="15" t="n">
        <v>158181</v>
      </c>
      <c r="X26" s="7" t="s">
        <v>751</v>
      </c>
      <c r="Y26" s="7" t="s">
        <v>141</v>
      </c>
      <c r="Z26" s="15" t="n">
        <v>35972</v>
      </c>
      <c r="AA26" s="7" t="s">
        <v>752</v>
      </c>
      <c r="AB26" s="7" t="s">
        <v>141</v>
      </c>
      <c r="AC26" s="15" t="n">
        <v>28559</v>
      </c>
      <c r="AD26" s="7" t="s">
        <v>753</v>
      </c>
      <c r="AE26" s="7" t="s">
        <v>141</v>
      </c>
      <c r="AF26" s="15" t="n">
        <v>19754</v>
      </c>
      <c r="AG26" s="7" t="s">
        <v>754</v>
      </c>
      <c r="AH26" s="7" t="s">
        <v>141</v>
      </c>
      <c r="AI26" s="15" t="n">
        <v>49037</v>
      </c>
      <c r="AJ26" s="7" t="s">
        <v>190</v>
      </c>
      <c r="AK26" s="7" t="s">
        <v>141</v>
      </c>
      <c r="AL26" s="16" t="n">
        <f aca="false">H26/E26</f>
        <v>0.891466556588331</v>
      </c>
      <c r="AM26" s="16" t="n">
        <f aca="false">K26/E26</f>
        <v>0.894452905925726</v>
      </c>
      <c r="AN26" s="16" t="n">
        <f aca="false">N26/E26</f>
        <v>0.261967460464322</v>
      </c>
      <c r="AO26" s="16" t="n">
        <f aca="false">Q26/E26</f>
        <v>0.223230324683643</v>
      </c>
      <c r="AP26" s="16" t="n">
        <f aca="false">T26/E26</f>
        <v>0.470855337138628</v>
      </c>
      <c r="AQ26" s="16" t="n">
        <f aca="false">W26/E26</f>
        <v>0.450318135880318</v>
      </c>
      <c r="AR26" s="16" t="n">
        <f aca="false">Z26/E26</f>
        <v>0.102407014647061</v>
      </c>
      <c r="AS26" s="16" t="n">
        <f aca="false">AC26/E26</f>
        <v>0.0813032895392368</v>
      </c>
      <c r="AT26" s="16" t="n">
        <f aca="false">AF26/E26</f>
        <v>0.0562367443383201</v>
      </c>
      <c r="AU26" s="16" t="n">
        <f aca="false">AI26/E26</f>
        <v>0.139601155822527</v>
      </c>
    </row>
    <row r="27" customFormat="false" ht="15" hidden="false" customHeight="false" outlineLevel="0" collapsed="false">
      <c r="A27" s="10" t="s">
        <v>143</v>
      </c>
      <c r="B27" s="10" t="s">
        <v>25</v>
      </c>
      <c r="C27" s="10" t="n">
        <v>2026</v>
      </c>
      <c r="D27" s="10" t="n">
        <v>2</v>
      </c>
      <c r="E27" s="15" t="n">
        <v>364621</v>
      </c>
      <c r="F27" s="7" t="s">
        <v>145</v>
      </c>
      <c r="G27" s="7" t="s">
        <v>146</v>
      </c>
      <c r="H27" s="15" t="n">
        <v>321960</v>
      </c>
      <c r="I27" s="7" t="s">
        <v>755</v>
      </c>
      <c r="J27" s="7" t="s">
        <v>146</v>
      </c>
      <c r="K27" s="15" t="n">
        <v>324222</v>
      </c>
      <c r="L27" s="7" t="s">
        <v>756</v>
      </c>
      <c r="M27" s="7" t="s">
        <v>146</v>
      </c>
      <c r="N27" s="15" t="n">
        <v>99307</v>
      </c>
      <c r="O27" s="7" t="s">
        <v>757</v>
      </c>
      <c r="P27" s="7" t="s">
        <v>146</v>
      </c>
      <c r="Q27" s="15" t="n">
        <v>83003</v>
      </c>
      <c r="R27" s="7" t="s">
        <v>758</v>
      </c>
      <c r="S27" s="7" t="s">
        <v>146</v>
      </c>
      <c r="T27" s="15" t="n">
        <v>162402</v>
      </c>
      <c r="U27" s="7" t="s">
        <v>759</v>
      </c>
      <c r="V27" s="7" t="s">
        <v>146</v>
      </c>
      <c r="W27" s="15" t="n">
        <v>149444</v>
      </c>
      <c r="X27" s="7" t="s">
        <v>760</v>
      </c>
      <c r="Y27" s="7" t="s">
        <v>146</v>
      </c>
      <c r="Z27" s="15" t="n">
        <v>40359</v>
      </c>
      <c r="AA27" s="7" t="s">
        <v>761</v>
      </c>
      <c r="AB27" s="7" t="s">
        <v>146</v>
      </c>
      <c r="AC27" s="15" t="n">
        <v>30665</v>
      </c>
      <c r="AD27" s="7" t="s">
        <v>762</v>
      </c>
      <c r="AE27" s="7" t="s">
        <v>146</v>
      </c>
      <c r="AF27" s="15" t="n">
        <v>-1544</v>
      </c>
      <c r="AG27" s="7" t="s">
        <v>763</v>
      </c>
      <c r="AH27" s="7" t="s">
        <v>146</v>
      </c>
      <c r="AI27" s="15" t="n">
        <v>61110</v>
      </c>
      <c r="AJ27" s="7" t="s">
        <v>193</v>
      </c>
      <c r="AK27" s="7" t="s">
        <v>146</v>
      </c>
      <c r="AL27" s="16" t="n">
        <f aca="false">H27/E27</f>
        <v>0.882999059297188</v>
      </c>
      <c r="AM27" s="16" t="n">
        <f aca="false">K27/E27</f>
        <v>0.889202761223298</v>
      </c>
      <c r="AN27" s="16" t="n">
        <f aca="false">N27/E27</f>
        <v>0.272356775939949</v>
      </c>
      <c r="AO27" s="16" t="n">
        <f aca="false">Q27/E27</f>
        <v>0.227641852773154</v>
      </c>
      <c r="AP27" s="16" t="n">
        <f aca="false">T27/E27</f>
        <v>0.445399469586228</v>
      </c>
      <c r="AQ27" s="16" t="n">
        <f aca="false">W27/E27</f>
        <v>0.409861198340194</v>
      </c>
      <c r="AR27" s="16" t="n">
        <f aca="false">Z27/E27</f>
        <v>0.11068753582487</v>
      </c>
      <c r="AS27" s="16" t="n">
        <f aca="false">AC27/E27</f>
        <v>0.0841010254483423</v>
      </c>
      <c r="AT27" s="16" t="n">
        <f aca="false">AF27/E27</f>
        <v>-0.00423453394072201</v>
      </c>
      <c r="AU27" s="16" t="n">
        <f aca="false">AI27/E27</f>
        <v>0.167598684661608</v>
      </c>
    </row>
    <row r="28" customFormat="false" ht="15" hidden="false" customHeight="false" outlineLevel="0" collapsed="false">
      <c r="A28" s="10" t="s">
        <v>230</v>
      </c>
      <c r="B28" s="10" t="s">
        <v>224</v>
      </c>
      <c r="C28" s="10" t="n">
        <v>2021</v>
      </c>
      <c r="D28" s="10" t="s">
        <v>764</v>
      </c>
      <c r="E28" s="15" t="n">
        <v>308150</v>
      </c>
      <c r="F28" s="7" t="s">
        <v>235</v>
      </c>
      <c r="G28" s="7" t="s">
        <v>62</v>
      </c>
      <c r="H28" s="15" t="n">
        <v>269137</v>
      </c>
      <c r="I28" s="7" t="s">
        <v>765</v>
      </c>
      <c r="J28" s="7" t="s">
        <v>62</v>
      </c>
      <c r="K28" s="15" t="n">
        <v>276818</v>
      </c>
      <c r="L28" s="7" t="s">
        <v>766</v>
      </c>
      <c r="M28" s="7" t="s">
        <v>62</v>
      </c>
      <c r="N28" s="15" t="n">
        <v>73686</v>
      </c>
      <c r="O28" s="7" t="s">
        <v>767</v>
      </c>
      <c r="P28" s="7" t="s">
        <v>62</v>
      </c>
      <c r="Q28" s="15" t="n">
        <v>51907</v>
      </c>
      <c r="R28" s="7" t="s">
        <v>768</v>
      </c>
      <c r="S28" s="7" t="s">
        <v>62</v>
      </c>
      <c r="T28" s="15" t="n">
        <v>268083</v>
      </c>
      <c r="U28" s="7" t="s">
        <v>769</v>
      </c>
      <c r="V28" s="7" t="s">
        <v>62</v>
      </c>
      <c r="W28" s="15" t="n">
        <v>244948</v>
      </c>
      <c r="X28" s="7" t="s">
        <v>770</v>
      </c>
      <c r="Y28" s="7" t="s">
        <v>62</v>
      </c>
      <c r="Z28" s="15" t="n">
        <v>53493</v>
      </c>
      <c r="AA28" s="7" t="s">
        <v>771</v>
      </c>
      <c r="AB28" s="7" t="s">
        <v>62</v>
      </c>
      <c r="AC28" s="15" t="n">
        <v>32559</v>
      </c>
      <c r="AD28" s="7" t="s">
        <v>772</v>
      </c>
      <c r="AE28" s="7" t="s">
        <v>62</v>
      </c>
      <c r="AF28" s="15" t="n">
        <v>-126125</v>
      </c>
      <c r="AG28" s="7" t="s">
        <v>773</v>
      </c>
      <c r="AH28" s="7" t="s">
        <v>62</v>
      </c>
      <c r="AI28" s="15" t="n">
        <v>-52596</v>
      </c>
      <c r="AJ28" s="7" t="s">
        <v>233</v>
      </c>
      <c r="AK28" s="7" t="s">
        <v>62</v>
      </c>
      <c r="AL28" s="16" t="n">
        <f aca="false">H28/E28</f>
        <v>0.873396073340905</v>
      </c>
      <c r="AM28" s="16" t="n">
        <f aca="false">K28/E28</f>
        <v>0.898322245659581</v>
      </c>
      <c r="AN28" s="16" t="n">
        <f aca="false">N28/E28</f>
        <v>0.239123803342528</v>
      </c>
      <c r="AO28" s="16" t="n">
        <f aca="false">Q28/E28</f>
        <v>0.168447184812591</v>
      </c>
      <c r="AP28" s="16" t="n">
        <f aca="false">T28/E28</f>
        <v>0.869975661203959</v>
      </c>
      <c r="AQ28" s="16" t="n">
        <f aca="false">W28/E28</f>
        <v>0.79489858834983</v>
      </c>
      <c r="AR28" s="16" t="n">
        <f aca="false">Z28/E28</f>
        <v>0.173594028882038</v>
      </c>
      <c r="AS28" s="16" t="n">
        <f aca="false">AC28/E28</f>
        <v>0.105659581372708</v>
      </c>
      <c r="AT28" s="16" t="n">
        <f aca="false">AF28/E28</f>
        <v>-0.40929742008762</v>
      </c>
      <c r="AU28" s="16" t="n">
        <f aca="false">AI28/E28</f>
        <v>-0.170683108875548</v>
      </c>
    </row>
    <row r="29" customFormat="false" ht="15" hidden="false" customHeight="false" outlineLevel="0" collapsed="false">
      <c r="A29" s="10" t="s">
        <v>238</v>
      </c>
      <c r="B29" s="10" t="s">
        <v>224</v>
      </c>
      <c r="C29" s="10" t="n">
        <v>2022</v>
      </c>
      <c r="D29" s="10" t="s">
        <v>764</v>
      </c>
      <c r="E29" s="15" t="n">
        <v>519029</v>
      </c>
      <c r="F29" s="7" t="s">
        <v>242</v>
      </c>
      <c r="G29" s="7" t="s">
        <v>81</v>
      </c>
      <c r="H29" s="15" t="n">
        <v>452501</v>
      </c>
      <c r="I29" s="7" t="s">
        <v>774</v>
      </c>
      <c r="J29" s="7" t="s">
        <v>81</v>
      </c>
      <c r="K29" s="15" t="n">
        <v>462907</v>
      </c>
      <c r="L29" s="7" t="s">
        <v>775</v>
      </c>
      <c r="M29" s="7" t="s">
        <v>81</v>
      </c>
      <c r="N29" s="15" t="n">
        <v>127047</v>
      </c>
      <c r="O29" s="7" t="s">
        <v>776</v>
      </c>
      <c r="P29" s="7" t="s">
        <v>81</v>
      </c>
      <c r="Q29" s="15" t="n">
        <v>94090</v>
      </c>
      <c r="R29" s="7" t="s">
        <v>777</v>
      </c>
      <c r="S29" s="7" t="s">
        <v>81</v>
      </c>
      <c r="T29" s="15" t="n">
        <v>392068</v>
      </c>
      <c r="U29" s="7" t="s">
        <v>778</v>
      </c>
      <c r="V29" s="7" t="s">
        <v>81</v>
      </c>
      <c r="W29" s="15" t="n">
        <v>358611</v>
      </c>
      <c r="X29" s="7" t="s">
        <v>779</v>
      </c>
      <c r="Y29" s="7" t="s">
        <v>81</v>
      </c>
      <c r="Z29" s="15" t="n">
        <v>85401</v>
      </c>
      <c r="AA29" s="7" t="s">
        <v>780</v>
      </c>
      <c r="AB29" s="7" t="s">
        <v>81</v>
      </c>
      <c r="AC29" s="15" t="n">
        <v>57301</v>
      </c>
      <c r="AD29" s="7" t="s">
        <v>781</v>
      </c>
      <c r="AE29" s="7" t="s">
        <v>81</v>
      </c>
      <c r="AF29" s="15" t="n">
        <v>-152015</v>
      </c>
      <c r="AG29" s="7" t="s">
        <v>782</v>
      </c>
      <c r="AH29" s="7" t="s">
        <v>81</v>
      </c>
      <c r="AI29" s="15" t="n">
        <v>-47095</v>
      </c>
      <c r="AJ29" s="7" t="s">
        <v>240</v>
      </c>
      <c r="AK29" s="7" t="s">
        <v>81</v>
      </c>
      <c r="AL29" s="16" t="n">
        <f aca="false">H29/E29</f>
        <v>0.871822191052908</v>
      </c>
      <c r="AM29" s="16" t="n">
        <f aca="false">K29/E29</f>
        <v>0.891871167121683</v>
      </c>
      <c r="AN29" s="16" t="n">
        <f aca="false">N29/E29</f>
        <v>0.244778230118163</v>
      </c>
      <c r="AO29" s="16" t="n">
        <f aca="false">Q29/E29</f>
        <v>0.181280814752162</v>
      </c>
      <c r="AP29" s="16" t="n">
        <f aca="false">T29/E29</f>
        <v>0.755387463898934</v>
      </c>
      <c r="AQ29" s="16" t="n">
        <f aca="false">W29/E29</f>
        <v>0.690926711224228</v>
      </c>
      <c r="AR29" s="16" t="n">
        <f aca="false">Z29/E29</f>
        <v>0.164539939001482</v>
      </c>
      <c r="AS29" s="16" t="n">
        <f aca="false">AC29/E29</f>
        <v>0.110400382252244</v>
      </c>
      <c r="AT29" s="16" t="n">
        <f aca="false">AF29/E29</f>
        <v>-0.292883441965671</v>
      </c>
      <c r="AU29" s="16" t="n">
        <f aca="false">AI29/E29</f>
        <v>-0.0907367411069516</v>
      </c>
    </row>
    <row r="30" customFormat="false" ht="15" hidden="false" customHeight="false" outlineLevel="0" collapsed="false">
      <c r="A30" s="10" t="s">
        <v>249</v>
      </c>
      <c r="B30" s="10" t="s">
        <v>224</v>
      </c>
      <c r="C30" s="10" t="n">
        <v>2023</v>
      </c>
      <c r="D30" s="10" t="s">
        <v>764</v>
      </c>
      <c r="E30" s="15" t="n">
        <v>729695</v>
      </c>
      <c r="F30" s="7" t="s">
        <v>253</v>
      </c>
      <c r="G30" s="7" t="s">
        <v>101</v>
      </c>
      <c r="H30" s="15" t="n">
        <v>649050</v>
      </c>
      <c r="I30" s="7" t="s">
        <v>783</v>
      </c>
      <c r="J30" s="7" t="s">
        <v>101</v>
      </c>
      <c r="K30" s="15" t="n">
        <v>655357</v>
      </c>
      <c r="L30" s="7" t="s">
        <v>784</v>
      </c>
      <c r="M30" s="7" t="s">
        <v>101</v>
      </c>
      <c r="N30" s="15" t="n">
        <v>156500</v>
      </c>
      <c r="O30" s="7" t="s">
        <v>785</v>
      </c>
      <c r="P30" s="7" t="s">
        <v>101</v>
      </c>
      <c r="Q30" s="15" t="n">
        <v>117763</v>
      </c>
      <c r="R30" s="7" t="s">
        <v>786</v>
      </c>
      <c r="S30" s="7" t="s">
        <v>101</v>
      </c>
      <c r="T30" s="15" t="n">
        <v>438402</v>
      </c>
      <c r="U30" s="7" t="s">
        <v>787</v>
      </c>
      <c r="V30" s="7" t="s">
        <v>101</v>
      </c>
      <c r="W30" s="15" t="n">
        <v>413007</v>
      </c>
      <c r="X30" s="7" t="s">
        <v>788</v>
      </c>
      <c r="Y30" s="7" t="s">
        <v>101</v>
      </c>
      <c r="Z30" s="15" t="n">
        <v>92733</v>
      </c>
      <c r="AA30" s="7" t="s">
        <v>789</v>
      </c>
      <c r="AB30" s="7" t="s">
        <v>101</v>
      </c>
      <c r="AC30" s="15" t="n">
        <v>62986</v>
      </c>
      <c r="AD30" s="7" t="s">
        <v>790</v>
      </c>
      <c r="AE30" s="7" t="s">
        <v>101</v>
      </c>
      <c r="AF30" s="15" t="n">
        <v>-38585</v>
      </c>
      <c r="AG30" s="7" t="s">
        <v>791</v>
      </c>
      <c r="AH30" s="7" t="s">
        <v>101</v>
      </c>
      <c r="AI30" s="15" t="n">
        <v>61601</v>
      </c>
      <c r="AJ30" s="7" t="s">
        <v>251</v>
      </c>
      <c r="AK30" s="7" t="s">
        <v>101</v>
      </c>
      <c r="AL30" s="16" t="n">
        <f aca="false">H30/E30</f>
        <v>0.889481221606288</v>
      </c>
      <c r="AM30" s="16" t="n">
        <f aca="false">K30/E30</f>
        <v>0.898124558891044</v>
      </c>
      <c r="AN30" s="16" t="n">
        <f aca="false">N30/E30</f>
        <v>0.214473170297179</v>
      </c>
      <c r="AO30" s="16" t="n">
        <f aca="false">Q30/E30</f>
        <v>0.16138660673295</v>
      </c>
      <c r="AP30" s="16" t="n">
        <f aca="false">T30/E30</f>
        <v>0.600801704821878</v>
      </c>
      <c r="AQ30" s="16" t="n">
        <f aca="false">W30/E30</f>
        <v>0.565999492938831</v>
      </c>
      <c r="AR30" s="16" t="n">
        <f aca="false">Z30/E30</f>
        <v>0.127084603841331</v>
      </c>
      <c r="AS30" s="16" t="n">
        <f aca="false">AC30/E30</f>
        <v>0.0863182562577515</v>
      </c>
      <c r="AT30" s="16" t="n">
        <f aca="false">AF30/E30</f>
        <v>-0.0528782573541</v>
      </c>
      <c r="AU30" s="16" t="n">
        <f aca="false">AI30/E30</f>
        <v>0.0844202029615113</v>
      </c>
    </row>
    <row r="31" customFormat="false" ht="15" hidden="false" customHeight="false" outlineLevel="0" collapsed="false">
      <c r="A31" s="10" t="s">
        <v>260</v>
      </c>
      <c r="B31" s="10" t="s">
        <v>224</v>
      </c>
      <c r="C31" s="10" t="n">
        <v>2024</v>
      </c>
      <c r="D31" s="10" t="s">
        <v>764</v>
      </c>
      <c r="E31" s="15" t="n">
        <v>971995</v>
      </c>
      <c r="F31" s="7" t="s">
        <v>266</v>
      </c>
      <c r="G31" s="7" t="s">
        <v>120</v>
      </c>
      <c r="H31" s="15" t="n">
        <v>868304</v>
      </c>
      <c r="I31" s="7" t="s">
        <v>792</v>
      </c>
      <c r="J31" s="7" t="s">
        <v>120</v>
      </c>
      <c r="K31" s="15" t="n">
        <v>874907</v>
      </c>
      <c r="L31" s="7" t="s">
        <v>793</v>
      </c>
      <c r="M31" s="7" t="s">
        <v>120</v>
      </c>
      <c r="N31" s="15" t="n">
        <v>213709</v>
      </c>
      <c r="O31" s="7" t="s">
        <v>794</v>
      </c>
      <c r="P31" s="7" t="s">
        <v>120</v>
      </c>
      <c r="Q31" s="15" t="n">
        <v>162714</v>
      </c>
      <c r="R31" s="7" t="s">
        <v>795</v>
      </c>
      <c r="S31" s="7" t="s">
        <v>120</v>
      </c>
      <c r="T31" s="15" t="n">
        <v>533539</v>
      </c>
      <c r="U31" s="7" t="s">
        <v>796</v>
      </c>
      <c r="V31" s="7" t="s">
        <v>120</v>
      </c>
      <c r="W31" s="15" t="n">
        <v>499674</v>
      </c>
      <c r="X31" s="7" t="s">
        <v>797</v>
      </c>
      <c r="Y31" s="7" t="s">
        <v>120</v>
      </c>
      <c r="Z31" s="15" t="n">
        <v>142090</v>
      </c>
      <c r="AA31" s="7" t="s">
        <v>798</v>
      </c>
      <c r="AB31" s="7" t="s">
        <v>120</v>
      </c>
      <c r="AC31" s="15" t="n">
        <v>80136</v>
      </c>
      <c r="AD31" s="7" t="s">
        <v>799</v>
      </c>
      <c r="AE31" s="7" t="s">
        <v>120</v>
      </c>
      <c r="AF31" s="15" t="n">
        <v>-21034</v>
      </c>
      <c r="AG31" s="7" t="s">
        <v>800</v>
      </c>
      <c r="AH31" s="7" t="s">
        <v>120</v>
      </c>
      <c r="AI31" s="15" t="n">
        <v>132383</v>
      </c>
      <c r="AJ31" s="7" t="s">
        <v>264</v>
      </c>
      <c r="AK31" s="7" t="s">
        <v>120</v>
      </c>
      <c r="AL31" s="16" t="n">
        <f aca="false">H31/E31</f>
        <v>0.893321467703023</v>
      </c>
      <c r="AM31" s="16" t="n">
        <f aca="false">K31/E31</f>
        <v>0.900114712524241</v>
      </c>
      <c r="AN31" s="16" t="n">
        <f aca="false">N31/E31</f>
        <v>0.219866357337229</v>
      </c>
      <c r="AO31" s="16" t="n">
        <f aca="false">Q31/E31</f>
        <v>0.167402095689793</v>
      </c>
      <c r="AP31" s="16" t="n">
        <f aca="false">T31/E31</f>
        <v>0.548911259831584</v>
      </c>
      <c r="AQ31" s="16" t="n">
        <f aca="false">W31/E31</f>
        <v>0.514070545630379</v>
      </c>
      <c r="AR31" s="16" t="n">
        <f aca="false">Z31/E31</f>
        <v>0.146183879546705</v>
      </c>
      <c r="AS31" s="16" t="n">
        <f aca="false">AC31/E31</f>
        <v>0.0824448685435625</v>
      </c>
      <c r="AT31" s="16" t="n">
        <f aca="false">AF31/E31</f>
        <v>-0.0216400290124949</v>
      </c>
      <c r="AU31" s="16" t="n">
        <f aca="false">AI31/E31</f>
        <v>0.136197202660508</v>
      </c>
    </row>
    <row r="32" customFormat="false" ht="15" hidden="false" customHeight="false" outlineLevel="0" collapsed="false">
      <c r="A32" s="10" t="s">
        <v>276</v>
      </c>
      <c r="B32" s="10" t="s">
        <v>224</v>
      </c>
      <c r="C32" s="10" t="n">
        <v>2025</v>
      </c>
      <c r="D32" s="10" t="s">
        <v>764</v>
      </c>
      <c r="E32" s="15" t="n">
        <v>1231997</v>
      </c>
      <c r="F32" s="7" t="s">
        <v>282</v>
      </c>
      <c r="G32" s="7" t="s">
        <v>136</v>
      </c>
      <c r="H32" s="15" t="n">
        <v>1098898</v>
      </c>
      <c r="I32" s="7" t="s">
        <v>801</v>
      </c>
      <c r="J32" s="7" t="s">
        <v>136</v>
      </c>
      <c r="K32" s="15" t="n">
        <v>1107459</v>
      </c>
      <c r="L32" s="7" t="s">
        <v>802</v>
      </c>
      <c r="M32" s="7" t="s">
        <v>136</v>
      </c>
      <c r="N32" s="15" t="n">
        <v>320799</v>
      </c>
      <c r="O32" s="7" t="s">
        <v>803</v>
      </c>
      <c r="P32" s="7" t="s">
        <v>136</v>
      </c>
      <c r="Q32" s="15" t="n">
        <v>238549</v>
      </c>
      <c r="R32" s="7" t="s">
        <v>804</v>
      </c>
      <c r="S32" s="7" t="s">
        <v>136</v>
      </c>
      <c r="T32" s="15" t="n">
        <v>630851</v>
      </c>
      <c r="U32" s="7" t="s">
        <v>805</v>
      </c>
      <c r="V32" s="7" t="s">
        <v>136</v>
      </c>
      <c r="W32" s="15" t="n">
        <v>586767</v>
      </c>
      <c r="X32" s="7" t="s">
        <v>806</v>
      </c>
      <c r="Y32" s="7" t="s">
        <v>136</v>
      </c>
      <c r="Z32" s="15" t="n">
        <v>148996</v>
      </c>
      <c r="AA32" s="7" t="s">
        <v>807</v>
      </c>
      <c r="AB32" s="7" t="s">
        <v>136</v>
      </c>
      <c r="AC32" s="15" t="n">
        <v>106880</v>
      </c>
      <c r="AD32" s="7" t="s">
        <v>808</v>
      </c>
      <c r="AE32" s="7" t="s">
        <v>136</v>
      </c>
      <c r="AF32" s="15" t="n">
        <v>-1748</v>
      </c>
      <c r="AG32" s="7" t="s">
        <v>809</v>
      </c>
      <c r="AH32" s="7" t="s">
        <v>136</v>
      </c>
      <c r="AI32" s="15" t="n">
        <v>175263</v>
      </c>
      <c r="AJ32" s="7" t="s">
        <v>280</v>
      </c>
      <c r="AK32" s="7" t="s">
        <v>136</v>
      </c>
      <c r="AL32" s="16" t="n">
        <f aca="false">H32/E32</f>
        <v>0.891964834329954</v>
      </c>
      <c r="AM32" s="16" t="n">
        <f aca="false">K32/E32</f>
        <v>0.898913714887293</v>
      </c>
      <c r="AN32" s="16" t="n">
        <f aca="false">N32/E32</f>
        <v>0.260389432766476</v>
      </c>
      <c r="AO32" s="16" t="n">
        <f aca="false">Q32/E32</f>
        <v>0.193627906561461</v>
      </c>
      <c r="AP32" s="16" t="n">
        <f aca="false">T32/E32</f>
        <v>0.512055630005593</v>
      </c>
      <c r="AQ32" s="16" t="n">
        <f aca="false">W32/E32</f>
        <v>0.476273075340281</v>
      </c>
      <c r="AR32" s="16" t="n">
        <f aca="false">Z32/E32</f>
        <v>0.120938606181671</v>
      </c>
      <c r="AS32" s="16" t="n">
        <f aca="false">AC32/E32</f>
        <v>0.0867534580035503</v>
      </c>
      <c r="AT32" s="16" t="n">
        <f aca="false">AF32/E32</f>
        <v>-0.00141883462378561</v>
      </c>
      <c r="AU32" s="16" t="n">
        <f aca="false">AI32/E32</f>
        <v>0.142259274982001</v>
      </c>
    </row>
    <row r="35" customFormat="false" ht="15" hidden="false" customHeight="false" outlineLevel="0" collapsed="false">
      <c r="A35" s="4" t="s">
        <v>810</v>
      </c>
    </row>
    <row r="36" customFormat="false" ht="35.05" hidden="false" customHeight="false" outlineLevel="0" collapsed="false">
      <c r="A36" s="8" t="s">
        <v>811</v>
      </c>
      <c r="B36" s="8" t="s">
        <v>812</v>
      </c>
      <c r="C36" s="8" t="s">
        <v>813</v>
      </c>
      <c r="D36" s="8" t="s">
        <v>814</v>
      </c>
      <c r="E36" s="8" t="s">
        <v>815</v>
      </c>
      <c r="F36" s="8" t="s">
        <v>816</v>
      </c>
      <c r="G36" s="8" t="s">
        <v>817</v>
      </c>
      <c r="H36" s="8" t="s">
        <v>818</v>
      </c>
      <c r="I36" s="8" t="s">
        <v>819</v>
      </c>
    </row>
    <row r="37" customFormat="false" ht="22.35" hidden="false" customHeight="false" outlineLevel="0" collapsed="false">
      <c r="A37" s="9" t="s">
        <v>48</v>
      </c>
      <c r="B37" s="9" t="s">
        <v>52</v>
      </c>
      <c r="C37" s="9" t="s">
        <v>52</v>
      </c>
      <c r="D37" s="9" t="s">
        <v>52</v>
      </c>
      <c r="E37" s="9" t="s">
        <v>52</v>
      </c>
      <c r="F37" s="9" t="s">
        <v>52</v>
      </c>
      <c r="G37" s="9" t="s">
        <v>52</v>
      </c>
      <c r="H37" s="9" t="s">
        <v>52</v>
      </c>
      <c r="I37" s="9" t="s">
        <v>52</v>
      </c>
    </row>
    <row r="38" customFormat="false" ht="15" hidden="false" customHeight="false" outlineLevel="0" collapsed="false">
      <c r="A38" s="10" t="s">
        <v>549</v>
      </c>
      <c r="B38" s="16" t="n">
        <f aca="false">AVERAGEIFS($AL$6:$AL$32,$B$6:$B$32,"Quarter",$D$6:$D$32,1,$C$6:$C$32,"&gt;=2022",$C$6:$C$32,"&lt;=2025")</f>
        <v>0.887577728023683</v>
      </c>
      <c r="C38" s="16" t="n">
        <f aca="false">AVERAGEIFS($AL$6:$AL$32,$B$6:$B$32,"Quarter",$D$6:$D$32,2,$C$6:$C$32,"&gt;=2022",$C$6:$C$32,"&lt;=2025")</f>
        <v>0.887196505446128</v>
      </c>
      <c r="D38" s="16" t="n">
        <f aca="false">AVERAGEIFS($AL$6:$AL$32,$B$6:$B$32,"Quarter",$D$6:$D$32,3,$C$6:$C$32,"&gt;=2022",$C$6:$C$32,"&lt;=2025")</f>
        <v>0.884648528415121</v>
      </c>
      <c r="E38" s="16" t="n">
        <f aca="false">AVERAGEIFS($AL$6:$AL$32,$B$6:$B$32,"Quarter",$D$6:$D$32,4,$C$6:$C$32,"&gt;=2022",$C$6:$C$32,"&lt;=2025")</f>
        <v>0.886988470512977</v>
      </c>
    </row>
    <row r="39" customFormat="false" ht="15" hidden="false" customHeight="false" outlineLevel="0" collapsed="false">
      <c r="A39" s="10" t="s">
        <v>550</v>
      </c>
      <c r="B39" s="16" t="n">
        <f aca="false">AVERAGEIFS($AM$6:$AM$32,$B$6:$B$32,"Quarter",$D$6:$D$32,1,$C$6:$C$32,"&gt;=2022",$C$6:$C$32,"&lt;=2025")</f>
        <v>0.897916215530453</v>
      </c>
      <c r="C39" s="16" t="n">
        <f aca="false">AVERAGEIFS($AM$6:$AM$32,$B$6:$B$32,"Quarter",$D$6:$D$32,2,$C$6:$C$32,"&gt;=2022",$C$6:$C$32,"&lt;=2025")</f>
        <v>0.899594181915759</v>
      </c>
      <c r="D39" s="16" t="n">
        <f aca="false">AVERAGEIFS($AM$6:$AM$32,$B$6:$B$32,"Quarter",$D$6:$D$32,3,$C$6:$C$32,"&gt;=2022",$C$6:$C$32,"&lt;=2025")</f>
        <v>0.895587983678355</v>
      </c>
      <c r="E39" s="16" t="n">
        <f aca="false">AVERAGEIFS($AM$6:$AM$32,$B$6:$B$32,"Quarter",$D$6:$D$32,4,$C$6:$C$32,"&gt;=2022",$C$6:$C$32,"&lt;=2025")</f>
        <v>0.896051481456974</v>
      </c>
      <c r="F39" s="16" t="n">
        <f aca="false">AVERAGEIFS($AV$6:$AV$32,$B$6:$B$32,"Quarter",$D$6:$D$32,1,$C$6:$C$32,"&gt;=2022",$C$6:$C$32,"&lt;=2025")</f>
        <v>0.000660177174388071</v>
      </c>
      <c r="G39" s="16" t="n">
        <f aca="false">AVERAGEIFS($AV$6:$AV$32,$B$6:$B$32,"Quarter",$D$6:$D$32,2,$C$6:$C$32,"&gt;=2022",$C$6:$C$32,"&lt;=2025")</f>
        <v>0.00233814355969414</v>
      </c>
      <c r="H39" s="16" t="n">
        <f aca="false">AVERAGEIFS($AV$6:$AV$32,$B$6:$B$32,"Quarter",$D$6:$D$32,3,$C$6:$C$32,"&gt;=2022",$C$6:$C$32,"&lt;=2025")</f>
        <v>-0.00166805467771047</v>
      </c>
      <c r="I39" s="16" t="n">
        <f aca="false">AVERAGEIFS($AV$6:$AV$32,$B$6:$B$32,"Quarter",$D$6:$D$32,4,$C$6:$C$32,"&gt;=2022",$C$6:$C$32,"&lt;=2025")</f>
        <v>-0.0012045568990916</v>
      </c>
    </row>
    <row r="40" customFormat="false" ht="15" hidden="false" customHeight="false" outlineLevel="0" collapsed="false">
      <c r="A40" s="10" t="s">
        <v>551</v>
      </c>
      <c r="B40" s="16" t="n">
        <f aca="false">AVERAGEIFS($AN$6:$AN$32,$B$6:$B$32,"Quarter",$D$6:$D$32,1,$C$6:$C$32,"&gt;=2022",$C$6:$C$32,"&lt;=2025")</f>
        <v>0.230917955191847</v>
      </c>
      <c r="C40" s="16" t="n">
        <f aca="false">AVERAGEIFS($AN$6:$AN$32,$B$6:$B$32,"Quarter",$D$6:$D$32,2,$C$6:$C$32,"&gt;=2022",$C$6:$C$32,"&lt;=2025")</f>
        <v>0.250462825718559</v>
      </c>
      <c r="D40" s="16" t="n">
        <f aca="false">AVERAGEIFS($AN$6:$AN$32,$B$6:$B$32,"Quarter",$D$6:$D$32,3,$C$6:$C$32,"&gt;=2022",$C$6:$C$32,"&lt;=2025")</f>
        <v>0.231821951640853</v>
      </c>
      <c r="E40" s="16" t="n">
        <f aca="false">AVERAGEIFS($AN$6:$AN$32,$B$6:$B$32,"Quarter",$D$6:$D$32,4,$C$6:$C$32,"&gt;=2022",$C$6:$C$32,"&lt;=2025")</f>
        <v>0.227741641490351</v>
      </c>
    </row>
    <row r="41" customFormat="false" ht="15" hidden="false" customHeight="false" outlineLevel="0" collapsed="false">
      <c r="A41" s="10" t="s">
        <v>552</v>
      </c>
      <c r="B41" s="16" t="n">
        <f aca="false">AVERAGEIFS($AO$6:$AO$32,$B$6:$B$32,"Quarter",$D$6:$D$32,1,$C$6:$C$32,"&gt;=2022",$C$6:$C$32,"&lt;=2025")</f>
        <v>0.175870472102002</v>
      </c>
      <c r="C41" s="16" t="n">
        <f aca="false">AVERAGEIFS($AO$6:$AO$32,$B$6:$B$32,"Quarter",$D$6:$D$32,2,$C$6:$C$32,"&gt;=2022",$C$6:$C$32,"&lt;=2025")</f>
        <v>0.176708841961226</v>
      </c>
      <c r="D41" s="16" t="n">
        <f aca="false">AVERAGEIFS($AO$6:$AO$32,$B$6:$B$32,"Quarter",$D$6:$D$32,3,$C$6:$C$32,"&gt;=2022",$C$6:$C$32,"&lt;=2025")</f>
        <v>0.17340672837943</v>
      </c>
      <c r="E41" s="16" t="n">
        <f aca="false">AVERAGEIFS($AO$6:$AO$32,$B$6:$B$32,"Quarter",$D$6:$D$32,4,$C$6:$C$32,"&gt;=2022",$C$6:$C$32,"&lt;=2025")</f>
        <v>0.177825636268362</v>
      </c>
      <c r="F41" s="16" t="n">
        <f aca="false">AVERAGEIFS($AW$6:$AW$32,$B$6:$B$32,"Quarter",$D$6:$D$32,1,$C$6:$C$32,"&gt;=2022",$C$6:$C$32,"&lt;=2025")</f>
        <v>-5.38838320896726E-005</v>
      </c>
      <c r="G41" s="16" t="n">
        <f aca="false">AVERAGEIFS($AW$6:$AW$32,$B$6:$B$32,"Quarter",$D$6:$D$32,2,$C$6:$C$32,"&gt;=2022",$C$6:$C$32,"&lt;=2025")</f>
        <v>0.000784486027134365</v>
      </c>
      <c r="H41" s="16" t="n">
        <f aca="false">AVERAGEIFS($AW$6:$AW$32,$B$6:$B$32,"Quarter",$D$6:$D$32,3,$C$6:$C$32,"&gt;=2022",$C$6:$C$32,"&lt;=2025")</f>
        <v>-0.00251762755466122</v>
      </c>
      <c r="I41" s="16" t="n">
        <f aca="false">AVERAGEIFS($AW$6:$AW$32,$B$6:$B$32,"Quarter",$D$6:$D$32,4,$C$6:$C$32,"&gt;=2022",$C$6:$C$32,"&lt;=2025")</f>
        <v>0.00190128033427032</v>
      </c>
    </row>
    <row r="42" customFormat="false" ht="15" hidden="false" customHeight="false" outlineLevel="0" collapsed="false">
      <c r="A42" s="10" t="s">
        <v>553</v>
      </c>
      <c r="B42" s="16" t="n">
        <f aca="false">AVERAGEIFS($AP$6:$AP$32,$B$6:$B$32,"Quarter",$D$6:$D$32,1,$C$6:$C$32,"&gt;=2022",$C$6:$C$32,"&lt;=2025")</f>
        <v>0.706351048648111</v>
      </c>
      <c r="C42" s="16" t="n">
        <f aca="false">AVERAGEIFS($AP$6:$AP$32,$B$6:$B$32,"Quarter",$D$6:$D$32,2,$C$6:$C$32,"&gt;=2022",$C$6:$C$32,"&lt;=2025")</f>
        <v>0.615166893807906</v>
      </c>
      <c r="D42" s="16" t="n">
        <f aca="false">AVERAGEIFS($AP$6:$AP$32,$B$6:$B$32,"Quarter",$D$6:$D$32,3,$C$6:$C$32,"&gt;=2022",$C$6:$C$32,"&lt;=2025")</f>
        <v>0.579871136620542</v>
      </c>
      <c r="E42" s="16" t="n">
        <f aca="false">AVERAGEIFS($AP$6:$AP$32,$B$6:$B$32,"Quarter",$D$6:$D$32,4,$C$6:$C$32,"&gt;=2022",$C$6:$C$32,"&lt;=2025")</f>
        <v>0.541731239733332</v>
      </c>
    </row>
    <row r="43" customFormat="false" ht="15" hidden="false" customHeight="false" outlineLevel="0" collapsed="false">
      <c r="A43" s="10" t="s">
        <v>554</v>
      </c>
      <c r="B43" s="16" t="n">
        <f aca="false">AVERAGEIFS($AQ$6:$AQ$32,$B$6:$B$32,"Quarter",$D$6:$D$32,1,$C$6:$C$32,"&gt;=2022",$C$6:$C$32,"&lt;=2025")</f>
        <v>0.667978763627081</v>
      </c>
      <c r="C43" s="16" t="n">
        <f aca="false">AVERAGEIFS($AQ$6:$AQ$32,$B$6:$B$32,"Quarter",$D$6:$D$32,2,$C$6:$C$32,"&gt;=2022",$C$6:$C$32,"&lt;=2025")</f>
        <v>0.5600122903334</v>
      </c>
      <c r="D43" s="16" t="n">
        <f aca="false">AVERAGEIFS($AQ$6:$AQ$32,$B$6:$B$32,"Quarter",$D$6:$D$32,3,$C$6:$C$32,"&gt;=2022",$C$6:$C$32,"&lt;=2025")</f>
        <v>0.534264394548008</v>
      </c>
      <c r="E43" s="16" t="n">
        <f aca="false">AVERAGEIFS($AQ$6:$AQ$32,$B$6:$B$32,"Quarter",$D$6:$D$32,4,$C$6:$C$32,"&gt;=2022",$C$6:$C$32,"&lt;=2025")</f>
        <v>0.509632902746921</v>
      </c>
      <c r="F43" s="16" t="n">
        <f aca="false">AVERAGEIFS($AX$6:$AX$32,$B$6:$B$32,"Quarter",$D$6:$D$32,1,$C$6:$C$32,"&gt;=2022",$C$6:$C$32,"&lt;=2025")</f>
        <v>0.106161307343651</v>
      </c>
      <c r="G43" s="16" t="n">
        <f aca="false">AVERAGEIFS($AX$6:$AX$32,$B$6:$B$32,"Quarter",$D$6:$D$32,2,$C$6:$C$32,"&gt;=2022",$C$6:$C$32,"&lt;=2025")</f>
        <v>-0.00180516595002965</v>
      </c>
      <c r="H43" s="16" t="n">
        <f aca="false">AVERAGEIFS($AX$6:$AX$32,$B$6:$B$32,"Quarter",$D$6:$D$32,3,$C$6:$C$32,"&gt;=2022",$C$6:$C$32,"&lt;=2025")</f>
        <v>-0.0275530617354213</v>
      </c>
      <c r="I43" s="16" t="n">
        <f aca="false">AVERAGEIFS($AX$6:$AX$32,$B$6:$B$32,"Quarter",$D$6:$D$32,4,$C$6:$C$32,"&gt;=2022",$C$6:$C$32,"&lt;=2025")</f>
        <v>-0.0521845535365087</v>
      </c>
    </row>
    <row r="44" customFormat="false" ht="15" hidden="false" customHeight="false" outlineLevel="0" collapsed="false">
      <c r="A44" s="10" t="s">
        <v>555</v>
      </c>
      <c r="B44" s="16" t="n">
        <f aca="false">AVERAGEIFS($AR$6:$AR$32,$B$6:$B$32,"Quarter",$D$6:$D$32,1,$C$6:$C$32,"&gt;=2022",$C$6:$C$32,"&lt;=2025")</f>
        <v>0.138000805954479</v>
      </c>
      <c r="C44" s="16" t="n">
        <f aca="false">AVERAGEIFS($AR$6:$AR$32,$B$6:$B$32,"Quarter",$D$6:$D$32,2,$C$6:$C$32,"&gt;=2022",$C$6:$C$32,"&lt;=2025")</f>
        <v>0.139956098998665</v>
      </c>
      <c r="D44" s="16" t="n">
        <f aca="false">AVERAGEIFS($AR$6:$AR$32,$B$6:$B$32,"Quarter",$D$6:$D$32,3,$C$6:$C$32,"&gt;=2022",$C$6:$C$32,"&lt;=2025")</f>
        <v>0.157027128747639</v>
      </c>
      <c r="E44" s="16" t="n">
        <f aca="false">AVERAGEIFS($AR$6:$AR$32,$B$6:$B$32,"Quarter",$D$6:$D$32,4,$C$6:$C$32,"&gt;=2022",$C$6:$C$32,"&lt;=2025")</f>
        <v>0.125032758434685</v>
      </c>
    </row>
    <row r="45" customFormat="false" ht="15" hidden="false" customHeight="false" outlineLevel="0" collapsed="false">
      <c r="A45" s="10" t="s">
        <v>556</v>
      </c>
      <c r="B45" s="16" t="n">
        <f aca="false">AVERAGEIFS($AS$6:$AS$32,$B$6:$B$32,"Quarter",$D$6:$D$32,1,$C$6:$C$32,"&gt;=2022",$C$6:$C$32,"&lt;=2025")</f>
        <v>0.094610848249698</v>
      </c>
      <c r="C45" s="16" t="n">
        <f aca="false">AVERAGEIFS($AS$6:$AS$32,$B$6:$B$32,"Quarter",$D$6:$D$32,2,$C$6:$C$32,"&gt;=2022",$C$6:$C$32,"&lt;=2025")</f>
        <v>0.0918805633778329</v>
      </c>
      <c r="D45" s="16" t="n">
        <f aca="false">AVERAGEIFS($AS$6:$AS$32,$B$6:$B$32,"Quarter",$D$6:$D$32,3,$C$6:$C$32,"&gt;=2022",$C$6:$C$32,"&lt;=2025")</f>
        <v>0.0905744248305096</v>
      </c>
      <c r="E45" s="16" t="n">
        <f aca="false">AVERAGEIFS($AS$6:$AS$32,$B$6:$B$32,"Quarter",$D$6:$D$32,4,$C$6:$C$32,"&gt;=2022",$C$6:$C$32,"&lt;=2025")</f>
        <v>0.0896589953720206</v>
      </c>
      <c r="F45" s="16" t="n">
        <f aca="false">AVERAGEIFS($AY$6:$AY$32,$B$6:$B$32,"Quarter",$D$6:$D$32,1,$C$6:$C$32,"&gt;=2022",$C$6:$C$32,"&lt;=2025")</f>
        <v>0.00313160698542087</v>
      </c>
      <c r="G45" s="16" t="n">
        <f aca="false">AVERAGEIFS($AY$6:$AY$32,$B$6:$B$32,"Quarter",$D$6:$D$32,2,$C$6:$C$32,"&gt;=2022",$C$6:$C$32,"&lt;=2025")</f>
        <v>0.000401322113555768</v>
      </c>
      <c r="H45" s="16" t="n">
        <f aca="false">AVERAGEIFS($AY$6:$AY$32,$B$6:$B$32,"Quarter",$D$6:$D$32,3,$C$6:$C$32,"&gt;=2022",$C$6:$C$32,"&lt;=2025")</f>
        <v>-0.000904816433767469</v>
      </c>
      <c r="I45" s="16" t="n">
        <f aca="false">AVERAGEIFS($AY$6:$AY$32,$B$6:$B$32,"Quarter",$D$6:$D$32,4,$C$6:$C$32,"&gt;=2022",$C$6:$C$32,"&lt;=2025")</f>
        <v>-0.00182024589225654</v>
      </c>
    </row>
    <row r="46" customFormat="false" ht="15" hidden="false" customHeight="false" outlineLevel="0" collapsed="false">
      <c r="A46" s="10" t="s">
        <v>557</v>
      </c>
      <c r="B46" s="16" t="n">
        <f aca="false">AVERAGEIFS($AT$6:$AT$32,$B$6:$B$32,"Quarter",$D$6:$D$32,1,$C$6:$C$32,"&gt;=2022",$C$6:$C$32,"&lt;=2025")</f>
        <v>-0.187692081770754</v>
      </c>
      <c r="C46" s="16" t="n">
        <f aca="false">AVERAGEIFS($AT$6:$AT$32,$B$6:$B$32,"Quarter",$D$6:$D$32,2,$C$6:$C$32,"&gt;=2022",$C$6:$C$32,"&lt;=2025")</f>
        <v>-0.118389313079002</v>
      </c>
      <c r="D46" s="16" t="n">
        <f aca="false">AVERAGEIFS($AT$6:$AT$32,$B$6:$B$32,"Quarter",$D$6:$D$32,3,$C$6:$C$32,"&gt;=2022",$C$6:$C$32,"&lt;=2025")</f>
        <v>-0.0840716885939138</v>
      </c>
      <c r="E46" s="16" t="n">
        <f aca="false">AVERAGEIFS($AT$6:$AT$32,$B$6:$B$32,"Quarter",$D$6:$D$32,4,$C$6:$C$32,"&gt;=2022",$C$6:$C$32,"&lt;=2025")</f>
        <v>-0.00751716914539041</v>
      </c>
    </row>
    <row r="47" customFormat="false" ht="15" hidden="false" customHeight="false" outlineLevel="0" collapsed="false">
      <c r="A47" s="10" t="s">
        <v>558</v>
      </c>
      <c r="B47" s="16" t="n">
        <f aca="false">AVERAGEIFS($AU$6:$AU$32,$B$6:$B$32,"Quarter",$D$6:$D$32,1,$C$6:$C$32,"&gt;=2022",$C$6:$C$32,"&lt;=2025")</f>
        <v>-0.0405438684483276</v>
      </c>
      <c r="C47" s="16" t="n">
        <f aca="false">AVERAGEIFS($AU$6:$AU$32,$B$6:$B$32,"Quarter",$D$6:$D$32,2,$C$6:$C$32,"&gt;=2022",$C$6:$C$32,"&lt;=2025")</f>
        <v>0.0709924862433006</v>
      </c>
      <c r="D47" s="16" t="n">
        <f aca="false">AVERAGEIFS($AU$6:$AU$32,$B$6:$B$32,"Quarter",$D$6:$D$32,3,$C$6:$C$32,"&gt;=2022",$C$6:$C$32,"&lt;=2025")</f>
        <v>0.0973424359204066</v>
      </c>
      <c r="E47" s="16" t="n">
        <f aca="false">AVERAGEIFS($AU$6:$AU$32,$B$6:$B$32,"Quarter",$D$6:$D$32,4,$C$6:$C$32,"&gt;=2022",$C$6:$C$32,"&lt;=2025")</f>
        <v>0.11893394706967</v>
      </c>
      <c r="F47" s="16" t="n">
        <f aca="false">AVERAGEIFS($AZ$6:$AZ$32,$B$6:$B$32,"Quarter",$D$6:$D$32,1,$C$6:$C$32,"&gt;=2022",$C$6:$C$32,"&lt;=2025")</f>
        <v>-0.108578853322595</v>
      </c>
      <c r="G47" s="16" t="n">
        <f aca="false">AVERAGEIFS($AZ$6:$AZ$32,$B$6:$B$32,"Quarter",$D$6:$D$32,2,$C$6:$C$32,"&gt;=2022",$C$6:$C$32,"&lt;=2025")</f>
        <v>0.00295750136903364</v>
      </c>
      <c r="H47" s="16" t="n">
        <f aca="false">AVERAGEIFS($AZ$6:$AZ$32,$B$6:$B$32,"Quarter",$D$6:$D$32,3,$C$6:$C$32,"&gt;=2022",$C$6:$C$32,"&lt;=2025")</f>
        <v>0.0293074510461396</v>
      </c>
      <c r="I47" s="16" t="n">
        <f aca="false">AVERAGEIFS($AZ$6:$AZ$32,$B$6:$B$32,"Quarter",$D$6:$D$32,4,$C$6:$C$32,"&gt;=2022",$C$6:$C$32,"&lt;=2025")</f>
        <v>0.0508989621954033</v>
      </c>
    </row>
    <row r="50" customFormat="false" ht="15" hidden="false" customHeight="false" outlineLevel="0" collapsed="false">
      <c r="A50" s="4" t="s">
        <v>820</v>
      </c>
    </row>
    <row r="51" customFormat="false" ht="79.85" hidden="false" customHeight="false" outlineLevel="0" collapsed="false">
      <c r="A51" s="8" t="s">
        <v>536</v>
      </c>
      <c r="B51" s="8" t="s">
        <v>553</v>
      </c>
      <c r="C51" s="8" t="s">
        <v>554</v>
      </c>
      <c r="D51" s="8" t="s">
        <v>821</v>
      </c>
      <c r="E51" s="8" t="s">
        <v>326</v>
      </c>
      <c r="F51" s="8" t="s">
        <v>27</v>
      </c>
      <c r="G51" s="8" t="s">
        <v>822</v>
      </c>
    </row>
    <row r="52" customFormat="false" ht="53.7" hidden="false" customHeight="false" outlineLevel="0" collapsed="false">
      <c r="A52" s="9" t="s">
        <v>48</v>
      </c>
      <c r="B52" s="9" t="s">
        <v>52</v>
      </c>
      <c r="C52" s="9" t="s">
        <v>52</v>
      </c>
      <c r="D52" s="9" t="s">
        <v>51</v>
      </c>
      <c r="E52" s="9" t="s">
        <v>49</v>
      </c>
      <c r="F52" s="9" t="s">
        <v>27</v>
      </c>
      <c r="G52" s="9" t="s">
        <v>48</v>
      </c>
    </row>
    <row r="53" customFormat="false" ht="15" hidden="false" customHeight="false" outlineLevel="0" collapsed="false">
      <c r="A53" s="10" t="s">
        <v>249</v>
      </c>
      <c r="B53" s="16" t="n">
        <f aca="false">AP30</f>
        <v>0.600801704821878</v>
      </c>
      <c r="C53" s="16" t="n">
        <f aca="false">AQ30</f>
        <v>0.565999492938831</v>
      </c>
      <c r="D53" s="18" t="n">
        <v>0.06</v>
      </c>
      <c r="E53" s="7" t="s">
        <v>823</v>
      </c>
      <c r="F53" s="7" t="s">
        <v>824</v>
      </c>
      <c r="G53" s="10" t="s">
        <v>825</v>
      </c>
    </row>
    <row r="54" customFormat="false" ht="15" hidden="false" customHeight="false" outlineLevel="0" collapsed="false">
      <c r="A54" s="10" t="s">
        <v>260</v>
      </c>
      <c r="B54" s="16" t="n">
        <f aca="false">AP31</f>
        <v>0.548911259831584</v>
      </c>
      <c r="C54" s="16" t="n">
        <f aca="false">AQ31</f>
        <v>0.514070545630379</v>
      </c>
      <c r="D54" s="18" t="n">
        <v>0.05</v>
      </c>
      <c r="E54" s="7" t="s">
        <v>826</v>
      </c>
      <c r="F54" s="7" t="s">
        <v>824</v>
      </c>
      <c r="G54" s="10" t="s">
        <v>825</v>
      </c>
    </row>
    <row r="55" customFormat="false" ht="15" hidden="false" customHeight="false" outlineLevel="0" collapsed="false">
      <c r="A55" s="10" t="s">
        <v>276</v>
      </c>
      <c r="B55" s="16" t="n">
        <f aca="false">AP32</f>
        <v>0.512055630005593</v>
      </c>
      <c r="C55" s="16" t="n">
        <f aca="false">AQ32</f>
        <v>0.476273075340281</v>
      </c>
      <c r="D55" s="18" t="n">
        <v>0.02</v>
      </c>
      <c r="E55" s="7" t="s">
        <v>827</v>
      </c>
      <c r="F55" s="7" t="s">
        <v>824</v>
      </c>
      <c r="G55" s="10" t="s">
        <v>825</v>
      </c>
    </row>
    <row r="56" customFormat="false" ht="15" hidden="false" customHeight="false" outlineLevel="0" collapsed="false">
      <c r="A56" s="10" t="s">
        <v>103</v>
      </c>
      <c r="B56" s="16" t="n">
        <f aca="false">AP18</f>
        <v>0.590748364551687</v>
      </c>
      <c r="C56" s="16" t="n">
        <f aca="false">AQ18</f>
        <v>0.556932963907189</v>
      </c>
    </row>
    <row r="57" customFormat="false" ht="15" hidden="false" customHeight="false" outlineLevel="0" collapsed="false">
      <c r="A57" s="10" t="s">
        <v>108</v>
      </c>
      <c r="B57" s="16" t="n">
        <f aca="false">AP19</f>
        <v>0.556830406681745</v>
      </c>
      <c r="C57" s="16" t="n">
        <f aca="false">AQ19</f>
        <v>0.511372010876471</v>
      </c>
    </row>
    <row r="58" customFormat="false" ht="15" hidden="false" customHeight="false" outlineLevel="0" collapsed="false">
      <c r="A58" s="10" t="s">
        <v>121</v>
      </c>
      <c r="B58" s="16" t="n">
        <f aca="false">AP22</f>
        <v>0.502108060230292</v>
      </c>
      <c r="C58" s="16" t="n">
        <f aca="false">AQ22</f>
        <v>0.481424269264836</v>
      </c>
    </row>
    <row r="59" customFormat="false" ht="15" hidden="false" customHeight="false" outlineLevel="0" collapsed="false">
      <c r="A59" s="10" t="s">
        <v>125</v>
      </c>
      <c r="B59" s="16" t="n">
        <f aca="false">AP23</f>
        <v>0.510310554020882</v>
      </c>
      <c r="C59" s="16" t="n">
        <f aca="false">AQ23</f>
        <v>0.465606961546951</v>
      </c>
    </row>
    <row r="60" customFormat="false" ht="15" hidden="false" customHeight="false" outlineLevel="0" collapsed="false">
      <c r="A60" s="10" t="s">
        <v>138</v>
      </c>
      <c r="B60" s="16" t="n">
        <f aca="false">AP26</f>
        <v>0.470855337138628</v>
      </c>
      <c r="C60" s="16" t="n">
        <f aca="false">AQ26</f>
        <v>0.450318135880318</v>
      </c>
    </row>
    <row r="61" customFormat="false" ht="15" hidden="false" customHeight="false" outlineLevel="0" collapsed="false">
      <c r="A61" s="10" t="s">
        <v>143</v>
      </c>
      <c r="B61" s="16" t="n">
        <f aca="false">AP27</f>
        <v>0.445399469586228</v>
      </c>
      <c r="C61" s="16" t="n">
        <f aca="false">AQ27</f>
        <v>0.409861198340194</v>
      </c>
    </row>
    <row r="62" customFormat="false" ht="15" hidden="false" customHeight="false" outlineLevel="0" collapsed="false">
      <c r="A62" s="10" t="s">
        <v>828</v>
      </c>
      <c r="D62" s="18" t="n">
        <v>0.05</v>
      </c>
      <c r="E62" s="7" t="s">
        <v>829</v>
      </c>
      <c r="F62" s="7" t="s">
        <v>830</v>
      </c>
      <c r="G62" s="10" t="s">
        <v>831</v>
      </c>
    </row>
    <row r="63" customFormat="false" ht="15" hidden="false" customHeight="false" outlineLevel="0" collapsed="false">
      <c r="A63" s="10" t="s">
        <v>832</v>
      </c>
      <c r="D63" s="18" t="n">
        <v>0.02</v>
      </c>
      <c r="E63" s="7" t="s">
        <v>833</v>
      </c>
      <c r="F63" s="7" t="s">
        <v>834</v>
      </c>
      <c r="G63" s="10" t="s">
        <v>835</v>
      </c>
    </row>
    <row r="64" customFormat="false" ht="15" hidden="false" customHeight="false" outlineLevel="0" collapsed="false">
      <c r="A64" s="10" t="s">
        <v>836</v>
      </c>
      <c r="D64" s="18" t="n">
        <v>0.02</v>
      </c>
      <c r="E64" s="7" t="s">
        <v>837</v>
      </c>
      <c r="F64" s="7" t="s">
        <v>838</v>
      </c>
      <c r="G64" s="10" t="s">
        <v>839</v>
      </c>
    </row>
    <row r="65" customFormat="false" ht="15" hidden="false" customHeight="false" outlineLevel="0" collapsed="false">
      <c r="A65" s="10" t="s">
        <v>840</v>
      </c>
      <c r="D65" s="20" t="n">
        <v>25.2</v>
      </c>
      <c r="E65" s="7" t="s">
        <v>841</v>
      </c>
      <c r="F65" s="7" t="s">
        <v>824</v>
      </c>
    </row>
    <row r="67" customFormat="false" ht="15" hidden="false" customHeight="false" outlineLevel="0" collapsed="false">
      <c r="A67" s="7" t="s">
        <v>842</v>
      </c>
    </row>
    <row r="68" customFormat="false" ht="15" hidden="false" customHeight="false" outlineLevel="0" collapsed="false">
      <c r="A68" s="7" t="s">
        <v>843</v>
      </c>
    </row>
    <row r="69" customFormat="false" ht="15" hidden="false" customHeight="false" outlineLevel="0" collapsed="false">
      <c r="A69" s="7" t="s">
        <v>844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4" min="3" style="0" width="7"/>
    <col collapsed="false" customWidth="true" hidden="false" outlineLevel="0" max="5" min="5" style="0" width="11"/>
    <col collapsed="false" customWidth="true" hidden="false" outlineLevel="0" max="7" min="6" style="0" width="9"/>
    <col collapsed="false" customWidth="true" hidden="false" outlineLevel="0" max="8" min="8" style="0" width="11"/>
    <col collapsed="false" customWidth="true" hidden="false" outlineLevel="0" max="10" min="9" style="0" width="9"/>
    <col collapsed="false" customWidth="true" hidden="false" outlineLevel="0" max="11" min="11" style="0" width="11"/>
    <col collapsed="false" customWidth="true" hidden="false" outlineLevel="0" max="13" min="12" style="0" width="9"/>
    <col collapsed="false" customWidth="true" hidden="false" outlineLevel="0" max="14" min="14" style="0" width="11"/>
    <col collapsed="false" customWidth="true" hidden="false" outlineLevel="0" max="16" min="15" style="0" width="9"/>
    <col collapsed="false" customWidth="true" hidden="false" outlineLevel="0" max="20" min="17" style="0" width="11"/>
  </cols>
  <sheetData>
    <row r="1" customFormat="false" ht="16.15" hidden="false" customHeight="false" outlineLevel="0" collapsed="false">
      <c r="A1" s="6" t="s">
        <v>845</v>
      </c>
    </row>
    <row r="2" customFormat="false" ht="15" hidden="false" customHeight="false" outlineLevel="0" collapsed="false">
      <c r="A2" s="7" t="s">
        <v>846</v>
      </c>
    </row>
    <row r="4" customFormat="false" ht="57.45" hidden="false" customHeight="false" outlineLevel="0" collapsed="false">
      <c r="A4" s="8" t="s">
        <v>536</v>
      </c>
      <c r="B4" s="8" t="s">
        <v>537</v>
      </c>
      <c r="C4" s="8" t="s">
        <v>224</v>
      </c>
      <c r="D4" s="8" t="s">
        <v>538</v>
      </c>
      <c r="E4" s="8" t="s">
        <v>325</v>
      </c>
      <c r="F4" s="8" t="s">
        <v>326</v>
      </c>
      <c r="G4" s="8" t="s">
        <v>27</v>
      </c>
      <c r="H4" s="8" t="s">
        <v>847</v>
      </c>
      <c r="I4" s="8" t="s">
        <v>326</v>
      </c>
      <c r="J4" s="8" t="s">
        <v>27</v>
      </c>
      <c r="K4" s="8" t="s">
        <v>848</v>
      </c>
      <c r="L4" s="8" t="s">
        <v>326</v>
      </c>
      <c r="M4" s="8" t="s">
        <v>27</v>
      </c>
      <c r="N4" s="8" t="s">
        <v>849</v>
      </c>
      <c r="O4" s="8" t="s">
        <v>326</v>
      </c>
      <c r="P4" s="8" t="s">
        <v>27</v>
      </c>
      <c r="Q4" s="8" t="s">
        <v>850</v>
      </c>
      <c r="R4" s="8" t="s">
        <v>851</v>
      </c>
      <c r="S4" s="8" t="s">
        <v>852</v>
      </c>
      <c r="T4" s="8" t="s">
        <v>853</v>
      </c>
    </row>
    <row r="5" customFormat="false" ht="32.8" hidden="false" customHeight="false" outlineLevel="0" collapsed="false">
      <c r="A5" s="9" t="s">
        <v>48</v>
      </c>
      <c r="B5" s="9" t="s">
        <v>48</v>
      </c>
      <c r="C5" s="9" t="s">
        <v>48</v>
      </c>
      <c r="D5" s="9" t="s">
        <v>48</v>
      </c>
      <c r="E5" s="9" t="s">
        <v>51</v>
      </c>
      <c r="F5" s="9" t="s">
        <v>49</v>
      </c>
      <c r="G5" s="9" t="s">
        <v>27</v>
      </c>
      <c r="H5" s="9" t="s">
        <v>51</v>
      </c>
      <c r="I5" s="9" t="s">
        <v>49</v>
      </c>
      <c r="J5" s="9" t="s">
        <v>27</v>
      </c>
      <c r="K5" s="9" t="s">
        <v>51</v>
      </c>
      <c r="L5" s="9" t="s">
        <v>49</v>
      </c>
      <c r="M5" s="9" t="s">
        <v>27</v>
      </c>
      <c r="N5" s="9" t="s">
        <v>51</v>
      </c>
      <c r="O5" s="9" t="s">
        <v>49</v>
      </c>
      <c r="P5" s="9" t="s">
        <v>27</v>
      </c>
      <c r="Q5" s="9" t="s">
        <v>52</v>
      </c>
      <c r="R5" s="9" t="s">
        <v>52</v>
      </c>
      <c r="S5" s="9" t="s">
        <v>52</v>
      </c>
      <c r="T5" s="9" t="s">
        <v>52</v>
      </c>
    </row>
    <row r="6" customFormat="false" ht="15" hidden="false" customHeight="false" outlineLevel="0" collapsed="false">
      <c r="A6" s="10" t="s">
        <v>347</v>
      </c>
      <c r="B6" s="10" t="s">
        <v>25</v>
      </c>
      <c r="C6" s="10" t="n">
        <v>2021</v>
      </c>
      <c r="D6" s="10" t="n">
        <v>1</v>
      </c>
      <c r="E6" s="15" t="n">
        <v>58972</v>
      </c>
      <c r="F6" s="7" t="s">
        <v>348</v>
      </c>
      <c r="G6" s="7" t="s">
        <v>66</v>
      </c>
      <c r="H6" s="15" t="n">
        <v>-23307</v>
      </c>
      <c r="I6" s="7" t="s">
        <v>573</v>
      </c>
      <c r="J6" s="7" t="s">
        <v>66</v>
      </c>
      <c r="K6" s="15" t="n">
        <v>-599</v>
      </c>
      <c r="L6" s="7" t="s">
        <v>854</v>
      </c>
      <c r="M6" s="7" t="s">
        <v>66</v>
      </c>
      <c r="N6" s="15" t="n">
        <v>-1595</v>
      </c>
      <c r="O6" s="7" t="s">
        <v>855</v>
      </c>
      <c r="P6" s="7" t="s">
        <v>66</v>
      </c>
      <c r="Q6" s="16" t="n">
        <f aca="false">N6/E6</f>
        <v>-0.0270467340432748</v>
      </c>
      <c r="R6" s="21" t="str">
        <f aca="false">IF(H6&lt;=0,"n/m",N6/H6)</f>
        <v>n/m</v>
      </c>
      <c r="S6" s="16" t="n">
        <f aca="false">K6/E6</f>
        <v>-0.0101573628162518</v>
      </c>
      <c r="T6" s="16" t="n">
        <f aca="false">IF(N28&lt;=0,"n/m",N6/N28)</f>
        <v>-0.161111111111111</v>
      </c>
    </row>
    <row r="7" customFormat="false" ht="15" hidden="false" customHeight="false" outlineLevel="0" collapsed="false">
      <c r="A7" s="10" t="s">
        <v>232</v>
      </c>
      <c r="B7" s="10" t="s">
        <v>25</v>
      </c>
      <c r="C7" s="10" t="n">
        <v>2021</v>
      </c>
      <c r="D7" s="10" t="n">
        <v>2</v>
      </c>
      <c r="E7" s="15" t="n">
        <v>70615</v>
      </c>
      <c r="F7" s="7" t="s">
        <v>352</v>
      </c>
      <c r="G7" s="7" t="s">
        <v>56</v>
      </c>
      <c r="H7" s="15" t="n">
        <v>-9911</v>
      </c>
      <c r="I7" s="7" t="s">
        <v>583</v>
      </c>
      <c r="J7" s="7" t="s">
        <v>56</v>
      </c>
      <c r="K7" s="15" t="n">
        <v>-355</v>
      </c>
      <c r="L7" s="7" t="s">
        <v>856</v>
      </c>
      <c r="M7" s="7" t="s">
        <v>56</v>
      </c>
      <c r="N7" s="15" t="n">
        <v>-1480</v>
      </c>
      <c r="O7" s="7" t="s">
        <v>857</v>
      </c>
      <c r="P7" s="7" t="s">
        <v>56</v>
      </c>
      <c r="Q7" s="16" t="n">
        <f aca="false">N7/E7</f>
        <v>-0.0209587198187354</v>
      </c>
      <c r="R7" s="21" t="str">
        <f aca="false">IF(H7&lt;=0,"n/m",N7/H7)</f>
        <v>n/m</v>
      </c>
      <c r="S7" s="16" t="n">
        <f aca="false">K7/E7</f>
        <v>-0.00502726049706153</v>
      </c>
      <c r="T7" s="16" t="n">
        <f aca="false">IF(N28&lt;=0,"n/m",N7/N28)</f>
        <v>-0.14949494949495</v>
      </c>
    </row>
    <row r="8" customFormat="false" ht="15" hidden="false" customHeight="false" outlineLevel="0" collapsed="false">
      <c r="A8" s="10" t="s">
        <v>54</v>
      </c>
      <c r="B8" s="10" t="s">
        <v>25</v>
      </c>
      <c r="C8" s="10" t="n">
        <v>2021</v>
      </c>
      <c r="D8" s="10" t="n">
        <v>3</v>
      </c>
      <c r="E8" s="15" t="n">
        <v>83018</v>
      </c>
      <c r="F8" s="7" t="s">
        <v>57</v>
      </c>
      <c r="G8" s="7" t="s">
        <v>58</v>
      </c>
      <c r="H8" s="15" t="n">
        <v>-9449</v>
      </c>
      <c r="I8" s="7" t="s">
        <v>152</v>
      </c>
      <c r="J8" s="7" t="s">
        <v>58</v>
      </c>
      <c r="K8" s="15" t="n">
        <v>3793</v>
      </c>
      <c r="L8" s="7" t="s">
        <v>858</v>
      </c>
      <c r="M8" s="7" t="s">
        <v>58</v>
      </c>
      <c r="N8" s="15" t="n">
        <v>2865</v>
      </c>
      <c r="O8" s="7" t="s">
        <v>859</v>
      </c>
      <c r="P8" s="7" t="s">
        <v>58</v>
      </c>
      <c r="Q8" s="16" t="n">
        <f aca="false">N8/E8</f>
        <v>0.0345105880652389</v>
      </c>
      <c r="R8" s="21" t="str">
        <f aca="false">IF(H8&lt;=0,"n/m",N8/H8)</f>
        <v>n/m</v>
      </c>
      <c r="S8" s="16" t="n">
        <f aca="false">K8/E8</f>
        <v>0.0456888867474524</v>
      </c>
      <c r="T8" s="16" t="n">
        <f aca="false">IF(N28&lt;=0,"n/m",N8/N28)</f>
        <v>0.289393939393939</v>
      </c>
    </row>
    <row r="9" customFormat="false" ht="15" hidden="false" customHeight="false" outlineLevel="0" collapsed="false">
      <c r="A9" s="10" t="s">
        <v>59</v>
      </c>
      <c r="B9" s="10" t="s">
        <v>25</v>
      </c>
      <c r="C9" s="10" t="n">
        <v>2021</v>
      </c>
      <c r="D9" s="10" t="n">
        <v>4</v>
      </c>
      <c r="E9" s="15" t="n">
        <v>95545</v>
      </c>
      <c r="F9" s="7" t="s">
        <v>61</v>
      </c>
      <c r="G9" s="7" t="s">
        <v>62</v>
      </c>
      <c r="H9" s="15" t="n">
        <v>-9929</v>
      </c>
      <c r="I9" s="7" t="s">
        <v>155</v>
      </c>
      <c r="J9" s="7" t="s">
        <v>62</v>
      </c>
      <c r="K9" s="15" t="n">
        <v>13516</v>
      </c>
      <c r="L9" s="7" t="s">
        <v>860</v>
      </c>
      <c r="M9" s="7" t="s">
        <v>62</v>
      </c>
      <c r="N9" s="15" t="n">
        <v>10110</v>
      </c>
      <c r="O9" s="7" t="s">
        <v>861</v>
      </c>
      <c r="P9" s="7" t="s">
        <v>62</v>
      </c>
      <c r="Q9" s="16" t="n">
        <f aca="false">N9/E9</f>
        <v>0.105814014338793</v>
      </c>
      <c r="R9" s="21" t="str">
        <f aca="false">IF(H9&lt;=0,"n/m",N9/H9)</f>
        <v>n/m</v>
      </c>
      <c r="S9" s="16" t="n">
        <f aca="false">K9/E9</f>
        <v>0.141462138259459</v>
      </c>
      <c r="T9" s="16" t="n">
        <f aca="false">IF(N28&lt;=0,"n/m",N9/N28)</f>
        <v>1.02121212121212</v>
      </c>
    </row>
    <row r="10" customFormat="false" ht="15" hidden="false" customHeight="false" outlineLevel="0" collapsed="false">
      <c r="A10" s="10" t="s">
        <v>63</v>
      </c>
      <c r="B10" s="10" t="s">
        <v>25</v>
      </c>
      <c r="C10" s="10" t="n">
        <v>2022</v>
      </c>
      <c r="D10" s="10" t="n">
        <v>1</v>
      </c>
      <c r="E10" s="15" t="n">
        <v>108497</v>
      </c>
      <c r="F10" s="7" t="s">
        <v>65</v>
      </c>
      <c r="G10" s="7" t="s">
        <v>66</v>
      </c>
      <c r="H10" s="15" t="n">
        <v>-43830</v>
      </c>
      <c r="I10" s="7" t="s">
        <v>157</v>
      </c>
      <c r="J10" s="7" t="s">
        <v>66</v>
      </c>
      <c r="K10" s="15" t="n">
        <v>-12912</v>
      </c>
      <c r="L10" s="7" t="s">
        <v>862</v>
      </c>
      <c r="M10" s="7" t="s">
        <v>66</v>
      </c>
      <c r="N10" s="15" t="n">
        <v>-16192</v>
      </c>
      <c r="O10" s="7" t="s">
        <v>863</v>
      </c>
      <c r="P10" s="7" t="s">
        <v>66</v>
      </c>
      <c r="Q10" s="16" t="n">
        <f aca="false">N10/E10</f>
        <v>-0.149239149469571</v>
      </c>
      <c r="R10" s="21" t="str">
        <f aca="false">IF(H10&lt;=0,"n/m",N10/H10)</f>
        <v>n/m</v>
      </c>
      <c r="S10" s="16" t="n">
        <f aca="false">K10/E10</f>
        <v>-0.119007898835913</v>
      </c>
      <c r="T10" s="16" t="n">
        <f aca="false">IF(N29&lt;=0,"n/m",N10/N29)</f>
        <v>-1.98992257588792</v>
      </c>
    </row>
    <row r="11" customFormat="false" ht="15" hidden="false" customHeight="false" outlineLevel="0" collapsed="false">
      <c r="A11" s="10" t="s">
        <v>69</v>
      </c>
      <c r="B11" s="10" t="s">
        <v>25</v>
      </c>
      <c r="C11" s="10" t="n">
        <v>2022</v>
      </c>
      <c r="D11" s="10" t="n">
        <v>2</v>
      </c>
      <c r="E11" s="15" t="n">
        <v>123718</v>
      </c>
      <c r="F11" s="7" t="s">
        <v>71</v>
      </c>
      <c r="G11" s="7" t="s">
        <v>72</v>
      </c>
      <c r="H11" s="15" t="n">
        <v>-15358</v>
      </c>
      <c r="I11" s="7" t="s">
        <v>159</v>
      </c>
      <c r="J11" s="7" t="s">
        <v>72</v>
      </c>
      <c r="K11" s="15" t="n">
        <v>-14061</v>
      </c>
      <c r="L11" s="7" t="s">
        <v>864</v>
      </c>
      <c r="M11" s="7" t="s">
        <v>72</v>
      </c>
      <c r="N11" s="15" t="n">
        <v>-19295</v>
      </c>
      <c r="O11" s="7" t="s">
        <v>865</v>
      </c>
      <c r="P11" s="7" t="s">
        <v>72</v>
      </c>
      <c r="Q11" s="16" t="n">
        <f aca="false">N11/E11</f>
        <v>-0.155959520845794</v>
      </c>
      <c r="R11" s="21" t="str">
        <f aca="false">IF(H11&lt;=0,"n/m",N11/H11)</f>
        <v>n/m</v>
      </c>
      <c r="S11" s="16" t="n">
        <f aca="false">K11/E11</f>
        <v>-0.113653631646163</v>
      </c>
      <c r="T11" s="16" t="n">
        <f aca="false">IF(N29&lt;=0,"n/m",N11/N29)</f>
        <v>-2.37126705173897</v>
      </c>
    </row>
    <row r="12" customFormat="false" ht="15" hidden="false" customHeight="false" outlineLevel="0" collapsed="false">
      <c r="A12" s="10" t="s">
        <v>74</v>
      </c>
      <c r="B12" s="10" t="s">
        <v>25</v>
      </c>
      <c r="C12" s="10" t="n">
        <v>2022</v>
      </c>
      <c r="D12" s="10" t="n">
        <v>3</v>
      </c>
      <c r="E12" s="15" t="n">
        <v>136893</v>
      </c>
      <c r="F12" s="7" t="s">
        <v>76</v>
      </c>
      <c r="G12" s="7" t="s">
        <v>68</v>
      </c>
      <c r="H12" s="15" t="n">
        <v>-2185</v>
      </c>
      <c r="I12" s="7" t="s">
        <v>161</v>
      </c>
      <c r="J12" s="7" t="s">
        <v>68</v>
      </c>
      <c r="K12" s="15" t="n">
        <v>20030</v>
      </c>
      <c r="L12" s="7" t="s">
        <v>866</v>
      </c>
      <c r="M12" s="7" t="s">
        <v>68</v>
      </c>
      <c r="N12" s="15" t="n">
        <v>13959</v>
      </c>
      <c r="O12" s="7" t="s">
        <v>867</v>
      </c>
      <c r="P12" s="7" t="s">
        <v>68</v>
      </c>
      <c r="Q12" s="16" t="n">
        <f aca="false">N12/E12</f>
        <v>0.101970151870439</v>
      </c>
      <c r="R12" s="21" t="str">
        <f aca="false">IF(H12&lt;=0,"n/m",N12/H12)</f>
        <v>n/m</v>
      </c>
      <c r="S12" s="16" t="n">
        <f aca="false">K12/E12</f>
        <v>0.146318657637717</v>
      </c>
      <c r="T12" s="16" t="n">
        <f aca="false">IF(N29&lt;=0,"n/m",N12/N29)</f>
        <v>1.71549711195772</v>
      </c>
    </row>
    <row r="13" customFormat="false" ht="15" hidden="false" customHeight="false" outlineLevel="0" collapsed="false">
      <c r="A13" s="10" t="s">
        <v>78</v>
      </c>
      <c r="B13" s="10" t="s">
        <v>25</v>
      </c>
      <c r="C13" s="10" t="n">
        <v>2022</v>
      </c>
      <c r="D13" s="10" t="n">
        <v>4</v>
      </c>
      <c r="E13" s="15" t="n">
        <v>149921</v>
      </c>
      <c r="F13" s="7" t="s">
        <v>80</v>
      </c>
      <c r="G13" s="7" t="s">
        <v>81</v>
      </c>
      <c r="H13" s="15" t="n">
        <v>14278</v>
      </c>
      <c r="I13" s="7" t="s">
        <v>163</v>
      </c>
      <c r="J13" s="7" t="s">
        <v>81</v>
      </c>
      <c r="K13" s="15" t="n">
        <v>34081</v>
      </c>
      <c r="L13" s="7" t="s">
        <v>868</v>
      </c>
      <c r="M13" s="7" t="s">
        <v>81</v>
      </c>
      <c r="N13" s="15" t="n">
        <v>29665</v>
      </c>
      <c r="O13" s="7" t="s">
        <v>869</v>
      </c>
      <c r="P13" s="7" t="s">
        <v>81</v>
      </c>
      <c r="Q13" s="16" t="n">
        <f aca="false">N13/E13</f>
        <v>0.197870878662762</v>
      </c>
      <c r="R13" s="21" t="n">
        <f aca="false">IF(H13&lt;=0,"n/m",N13/H13)</f>
        <v>2.07767194284914</v>
      </c>
      <c r="S13" s="16" t="n">
        <f aca="false">K13/E13</f>
        <v>0.227326391899734</v>
      </c>
      <c r="T13" s="16" t="n">
        <f aca="false">IF(N29&lt;=0,"n/m",N13/N29)</f>
        <v>3.64569251566917</v>
      </c>
    </row>
    <row r="14" customFormat="false" ht="15" hidden="false" customHeight="false" outlineLevel="0" collapsed="false">
      <c r="A14" s="10" t="s">
        <v>83</v>
      </c>
      <c r="B14" s="10" t="s">
        <v>25</v>
      </c>
      <c r="C14" s="10" t="n">
        <v>2023</v>
      </c>
      <c r="D14" s="10" t="n">
        <v>1</v>
      </c>
      <c r="E14" s="15" t="n">
        <v>162256</v>
      </c>
      <c r="F14" s="7" t="s">
        <v>85</v>
      </c>
      <c r="G14" s="7" t="s">
        <v>86</v>
      </c>
      <c r="H14" s="15" t="n">
        <v>-293</v>
      </c>
      <c r="I14" s="7" t="s">
        <v>165</v>
      </c>
      <c r="J14" s="7" t="s">
        <v>86</v>
      </c>
      <c r="K14" s="15" t="n">
        <v>42728</v>
      </c>
      <c r="L14" s="7" t="s">
        <v>870</v>
      </c>
      <c r="M14" s="7" t="s">
        <v>86</v>
      </c>
      <c r="N14" s="15" t="n">
        <v>38682</v>
      </c>
      <c r="O14" s="7" t="s">
        <v>871</v>
      </c>
      <c r="P14" s="7" t="s">
        <v>86</v>
      </c>
      <c r="Q14" s="16" t="n">
        <f aca="false">N14/E14</f>
        <v>0.238401045261809</v>
      </c>
      <c r="R14" s="21" t="str">
        <f aca="false">IF(H14&lt;=0,"n/m",N14/H14)</f>
        <v>n/m</v>
      </c>
      <c r="S14" s="16" t="n">
        <f aca="false">K14/E14</f>
        <v>0.263336949018834</v>
      </c>
      <c r="T14" s="16" t="n">
        <f aca="false">IF(N30&lt;=0,"n/m",N14/N30)</f>
        <v>0.188743321378907</v>
      </c>
    </row>
    <row r="15" customFormat="false" ht="15" hidden="false" customHeight="false" outlineLevel="0" collapsed="false">
      <c r="A15" s="10" t="s">
        <v>88</v>
      </c>
      <c r="B15" s="10" t="s">
        <v>25</v>
      </c>
      <c r="C15" s="10" t="n">
        <v>2023</v>
      </c>
      <c r="D15" s="10" t="n">
        <v>2</v>
      </c>
      <c r="E15" s="15" t="n">
        <v>175679</v>
      </c>
      <c r="F15" s="7" t="s">
        <v>90</v>
      </c>
      <c r="G15" s="7" t="s">
        <v>91</v>
      </c>
      <c r="H15" s="15" t="n">
        <v>16617</v>
      </c>
      <c r="I15" s="7" t="s">
        <v>167</v>
      </c>
      <c r="J15" s="7" t="s">
        <v>91</v>
      </c>
      <c r="K15" s="15" t="n">
        <v>47589</v>
      </c>
      <c r="L15" s="7" t="s">
        <v>872</v>
      </c>
      <c r="M15" s="7" t="s">
        <v>91</v>
      </c>
      <c r="N15" s="15" t="n">
        <v>45932</v>
      </c>
      <c r="O15" s="7" t="s">
        <v>873</v>
      </c>
      <c r="P15" s="7" t="s">
        <v>91</v>
      </c>
      <c r="Q15" s="16" t="n">
        <f aca="false">N15/E15</f>
        <v>0.261454129406474</v>
      </c>
      <c r="R15" s="21" t="n">
        <f aca="false">IF(H15&lt;=0,"n/m",N15/H15)</f>
        <v>2.7641571884215</v>
      </c>
      <c r="S15" s="16" t="n">
        <f aca="false">K15/E15</f>
        <v>0.270886104770633</v>
      </c>
      <c r="T15" s="16" t="n">
        <f aca="false">IF(N30&lt;=0,"n/m",N15/N30)</f>
        <v>0.224118665983557</v>
      </c>
    </row>
    <row r="16" customFormat="false" ht="15" hidden="false" customHeight="false" outlineLevel="0" collapsed="false">
      <c r="A16" s="10" t="s">
        <v>93</v>
      </c>
      <c r="B16" s="10" t="s">
        <v>25</v>
      </c>
      <c r="C16" s="10" t="n">
        <v>2023</v>
      </c>
      <c r="D16" s="10" t="n">
        <v>3</v>
      </c>
      <c r="E16" s="15" t="n">
        <v>189190</v>
      </c>
      <c r="F16" s="7" t="s">
        <v>95</v>
      </c>
      <c r="G16" s="7" t="s">
        <v>96</v>
      </c>
      <c r="H16" s="15" t="n">
        <v>24077</v>
      </c>
      <c r="I16" s="7" t="s">
        <v>169</v>
      </c>
      <c r="J16" s="7" t="s">
        <v>96</v>
      </c>
      <c r="K16" s="15" t="n">
        <v>66579</v>
      </c>
      <c r="L16" s="7" t="s">
        <v>874</v>
      </c>
      <c r="M16" s="7" t="s">
        <v>96</v>
      </c>
      <c r="N16" s="15" t="n">
        <v>64890</v>
      </c>
      <c r="O16" s="7" t="s">
        <v>875</v>
      </c>
      <c r="P16" s="7" t="s">
        <v>96</v>
      </c>
      <c r="Q16" s="16" t="n">
        <f aca="false">N16/E16</f>
        <v>0.342988530049157</v>
      </c>
      <c r="R16" s="21" t="n">
        <f aca="false">IF(H16&lt;=0,"n/m",N16/H16)</f>
        <v>2.69510321053287</v>
      </c>
      <c r="S16" s="16" t="n">
        <f aca="false">K16/E16</f>
        <v>0.351916063216872</v>
      </c>
      <c r="T16" s="16" t="n">
        <f aca="false">IF(N30&lt;=0,"n/m",N16/N30)</f>
        <v>0.316621532606309</v>
      </c>
    </row>
    <row r="17" customFormat="false" ht="15" hidden="false" customHeight="false" outlineLevel="0" collapsed="false">
      <c r="A17" s="10" t="s">
        <v>98</v>
      </c>
      <c r="B17" s="10" t="s">
        <v>25</v>
      </c>
      <c r="C17" s="10" t="n">
        <v>2023</v>
      </c>
      <c r="D17" s="10" t="n">
        <v>4</v>
      </c>
      <c r="E17" s="15" t="n">
        <v>202570</v>
      </c>
      <c r="F17" s="7" t="s">
        <v>100</v>
      </c>
      <c r="G17" s="7" t="s">
        <v>101</v>
      </c>
      <c r="H17" s="15" t="n">
        <v>21200</v>
      </c>
      <c r="I17" s="7" t="s">
        <v>171</v>
      </c>
      <c r="J17" s="7" t="s">
        <v>101</v>
      </c>
      <c r="K17" s="15" t="n">
        <v>58508</v>
      </c>
      <c r="L17" s="7" t="s">
        <v>876</v>
      </c>
      <c r="M17" s="7" t="s">
        <v>101</v>
      </c>
      <c r="N17" s="15" t="n">
        <v>55441</v>
      </c>
      <c r="O17" s="7" t="s">
        <v>877</v>
      </c>
      <c r="P17" s="7" t="s">
        <v>101</v>
      </c>
      <c r="Q17" s="16" t="n">
        <f aca="false">N17/E17</f>
        <v>0.273688107814583</v>
      </c>
      <c r="R17" s="21" t="n">
        <f aca="false">IF(H17&lt;=0,"n/m",N17/H17)</f>
        <v>2.61514150943396</v>
      </c>
      <c r="S17" s="16" t="n">
        <f aca="false">K17/E17</f>
        <v>0.288828553092758</v>
      </c>
      <c r="T17" s="16" t="n">
        <f aca="false">IF(N30&lt;=0,"n/m",N17/N30)</f>
        <v>0.270516480031228</v>
      </c>
    </row>
    <row r="18" customFormat="false" ht="15" hidden="false" customHeight="false" outlineLevel="0" collapsed="false">
      <c r="A18" s="10" t="s">
        <v>103</v>
      </c>
      <c r="B18" s="10" t="s">
        <v>25</v>
      </c>
      <c r="C18" s="10" t="n">
        <v>2024</v>
      </c>
      <c r="D18" s="10" t="n">
        <v>1</v>
      </c>
      <c r="E18" s="15" t="n">
        <v>216913</v>
      </c>
      <c r="F18" s="7" t="s">
        <v>105</v>
      </c>
      <c r="G18" s="7" t="s">
        <v>106</v>
      </c>
      <c r="H18" s="15" t="n">
        <v>21521</v>
      </c>
      <c r="I18" s="7" t="s">
        <v>173</v>
      </c>
      <c r="J18" s="7" t="s">
        <v>106</v>
      </c>
      <c r="K18" s="15" t="n">
        <v>91955</v>
      </c>
      <c r="L18" s="7" t="s">
        <v>878</v>
      </c>
      <c r="M18" s="7" t="s">
        <v>106</v>
      </c>
      <c r="N18" s="15" t="n">
        <v>89894</v>
      </c>
      <c r="O18" s="7" t="s">
        <v>197</v>
      </c>
      <c r="P18" s="7" t="s">
        <v>106</v>
      </c>
      <c r="Q18" s="16" t="n">
        <f aca="false">N18/E18</f>
        <v>0.414424216160396</v>
      </c>
      <c r="R18" s="21" t="n">
        <f aca="false">IF(H18&lt;=0,"n/m",N18/H18)</f>
        <v>4.1770363830677</v>
      </c>
      <c r="S18" s="16" t="n">
        <f aca="false">K18/E18</f>
        <v>0.423925721372163</v>
      </c>
      <c r="T18" s="16" t="n">
        <f aca="false">IF(N31&lt;=0,"n/m",N18/N31)</f>
        <v>0.303870466146097</v>
      </c>
    </row>
    <row r="19" customFormat="false" ht="15" hidden="false" customHeight="false" outlineLevel="0" collapsed="false">
      <c r="A19" s="10" t="s">
        <v>108</v>
      </c>
      <c r="B19" s="10" t="s">
        <v>25</v>
      </c>
      <c r="C19" s="10" t="n">
        <v>2024</v>
      </c>
      <c r="D19" s="10" t="n">
        <v>2</v>
      </c>
      <c r="E19" s="15" t="n">
        <v>236106</v>
      </c>
      <c r="F19" s="7" t="s">
        <v>110</v>
      </c>
      <c r="G19" s="7" t="s">
        <v>111</v>
      </c>
      <c r="H19" s="15" t="n">
        <v>38417</v>
      </c>
      <c r="I19" s="7" t="s">
        <v>175</v>
      </c>
      <c r="J19" s="7" t="s">
        <v>111</v>
      </c>
      <c r="K19" s="15" t="n">
        <v>55794</v>
      </c>
      <c r="L19" s="7" t="s">
        <v>879</v>
      </c>
      <c r="M19" s="7" t="s">
        <v>111</v>
      </c>
      <c r="N19" s="15" t="n">
        <v>50821</v>
      </c>
      <c r="O19" s="7" t="s">
        <v>200</v>
      </c>
      <c r="P19" s="7" t="s">
        <v>111</v>
      </c>
      <c r="Q19" s="16" t="n">
        <f aca="false">N19/E19</f>
        <v>0.215246541807493</v>
      </c>
      <c r="R19" s="21" t="n">
        <f aca="false">IF(H19&lt;=0,"n/m",N19/H19)</f>
        <v>1.32287789259963</v>
      </c>
      <c r="S19" s="16" t="n">
        <f aca="false">K19/E19</f>
        <v>0.236309115397322</v>
      </c>
      <c r="T19" s="16" t="n">
        <f aca="false">IF(N31&lt;=0,"n/m",N19/N31)</f>
        <v>0.171791231450495</v>
      </c>
    </row>
    <row r="20" customFormat="false" ht="15" hidden="false" customHeight="false" outlineLevel="0" collapsed="false">
      <c r="A20" s="10" t="s">
        <v>113</v>
      </c>
      <c r="B20" s="10" t="s">
        <v>25</v>
      </c>
      <c r="C20" s="10" t="n">
        <v>2024</v>
      </c>
      <c r="D20" s="10" t="n">
        <v>3</v>
      </c>
      <c r="E20" s="15" t="n">
        <v>251000</v>
      </c>
      <c r="F20" s="7" t="s">
        <v>115</v>
      </c>
      <c r="G20" s="7" t="s">
        <v>116</v>
      </c>
      <c r="H20" s="15" t="n">
        <v>32180</v>
      </c>
      <c r="I20" s="7" t="s">
        <v>177</v>
      </c>
      <c r="J20" s="7" t="s">
        <v>116</v>
      </c>
      <c r="K20" s="15" t="n">
        <v>86605</v>
      </c>
      <c r="L20" s="7" t="s">
        <v>880</v>
      </c>
      <c r="M20" s="7" t="s">
        <v>116</v>
      </c>
      <c r="N20" s="15" t="n">
        <v>82412</v>
      </c>
      <c r="O20" s="7" t="s">
        <v>202</v>
      </c>
      <c r="P20" s="7" t="s">
        <v>116</v>
      </c>
      <c r="Q20" s="16" t="n">
        <f aca="false">N20/E20</f>
        <v>0.328334661354582</v>
      </c>
      <c r="R20" s="21" t="n">
        <f aca="false">IF(H20&lt;=0,"n/m",N20/H20)</f>
        <v>2.56096954630205</v>
      </c>
      <c r="S20" s="16" t="n">
        <f aca="false">K20/E20</f>
        <v>0.34503984063745</v>
      </c>
      <c r="T20" s="16" t="n">
        <f aca="false">IF(N31&lt;=0,"n/m",N20/N31)</f>
        <v>0.278578913565223</v>
      </c>
    </row>
    <row r="21" customFormat="false" ht="15" hidden="false" customHeight="false" outlineLevel="0" collapsed="false">
      <c r="A21" s="10" t="s">
        <v>117</v>
      </c>
      <c r="B21" s="10" t="s">
        <v>25</v>
      </c>
      <c r="C21" s="10" t="n">
        <v>2024</v>
      </c>
      <c r="D21" s="10" t="n">
        <v>4</v>
      </c>
      <c r="E21" s="15" t="n">
        <v>267976</v>
      </c>
      <c r="F21" s="7" t="s">
        <v>119</v>
      </c>
      <c r="G21" s="7" t="s">
        <v>120</v>
      </c>
      <c r="H21" s="15" t="n">
        <v>40265</v>
      </c>
      <c r="I21" s="7" t="s">
        <v>179</v>
      </c>
      <c r="J21" s="7" t="s">
        <v>120</v>
      </c>
      <c r="K21" s="15" t="n">
        <v>76711</v>
      </c>
      <c r="L21" s="7" t="s">
        <v>881</v>
      </c>
      <c r="M21" s="7" t="s">
        <v>120</v>
      </c>
      <c r="N21" s="15" t="n">
        <v>72703</v>
      </c>
      <c r="O21" s="7" t="s">
        <v>204</v>
      </c>
      <c r="P21" s="7" t="s">
        <v>120</v>
      </c>
      <c r="Q21" s="16" t="n">
        <f aca="false">N21/E21</f>
        <v>0.271304146639998</v>
      </c>
      <c r="R21" s="21" t="n">
        <f aca="false">IF(H21&lt;=0,"n/m",N21/H21)</f>
        <v>1.80561281509996</v>
      </c>
      <c r="S21" s="16" t="n">
        <f aca="false">K21/E21</f>
        <v>0.286260709914321</v>
      </c>
      <c r="T21" s="16" t="n">
        <f aca="false">IF(N31&lt;=0,"n/m",N21/N31)</f>
        <v>0.245759388838184</v>
      </c>
    </row>
    <row r="22" customFormat="false" ht="15" hidden="false" customHeight="false" outlineLevel="0" collapsed="false">
      <c r="A22" s="10" t="s">
        <v>121</v>
      </c>
      <c r="B22" s="10" t="s">
        <v>25</v>
      </c>
      <c r="C22" s="10" t="n">
        <v>2025</v>
      </c>
      <c r="D22" s="10" t="n">
        <v>1</v>
      </c>
      <c r="E22" s="15" t="n">
        <v>282250</v>
      </c>
      <c r="F22" s="7" t="s">
        <v>123</v>
      </c>
      <c r="G22" s="7" t="s">
        <v>124</v>
      </c>
      <c r="H22" s="15" t="n">
        <v>40754</v>
      </c>
      <c r="I22" s="7" t="s">
        <v>181</v>
      </c>
      <c r="J22" s="7" t="s">
        <v>124</v>
      </c>
      <c r="K22" s="15" t="n">
        <v>111970</v>
      </c>
      <c r="L22" s="7" t="s">
        <v>882</v>
      </c>
      <c r="M22" s="7" t="s">
        <v>124</v>
      </c>
      <c r="N22" s="15" t="n">
        <v>109532</v>
      </c>
      <c r="O22" s="7" t="s">
        <v>883</v>
      </c>
      <c r="P22" s="7" t="s">
        <v>124</v>
      </c>
      <c r="Q22" s="16" t="n">
        <f aca="false">N22/E22</f>
        <v>0.388067316209035</v>
      </c>
      <c r="R22" s="21" t="n">
        <f aca="false">IF(H22&lt;=0,"n/m",N22/H22)</f>
        <v>2.68763802326152</v>
      </c>
      <c r="S22" s="16" t="n">
        <f aca="false">K22/E22</f>
        <v>0.396705048715678</v>
      </c>
      <c r="T22" s="16" t="n">
        <f aca="false">IF(N32&lt;=0,"n/m",N22/N32)</f>
        <v>0.339465691439906</v>
      </c>
    </row>
    <row r="23" customFormat="false" ht="15" hidden="false" customHeight="false" outlineLevel="0" collapsed="false">
      <c r="A23" s="10" t="s">
        <v>125</v>
      </c>
      <c r="B23" s="10" t="s">
        <v>25</v>
      </c>
      <c r="C23" s="10" t="n">
        <v>2025</v>
      </c>
      <c r="D23" s="10" t="n">
        <v>2</v>
      </c>
      <c r="E23" s="15" t="n">
        <v>299014</v>
      </c>
      <c r="F23" s="7" t="s">
        <v>127</v>
      </c>
      <c r="G23" s="7" t="s">
        <v>128</v>
      </c>
      <c r="H23" s="15" t="n">
        <v>45094</v>
      </c>
      <c r="I23" s="7" t="s">
        <v>183</v>
      </c>
      <c r="J23" s="7" t="s">
        <v>128</v>
      </c>
      <c r="K23" s="15" t="n">
        <v>66837</v>
      </c>
      <c r="L23" s="7" t="s">
        <v>884</v>
      </c>
      <c r="M23" s="7" t="s">
        <v>128</v>
      </c>
      <c r="N23" s="15" t="n">
        <v>64093</v>
      </c>
      <c r="O23" s="7" t="s">
        <v>885</v>
      </c>
      <c r="P23" s="7" t="s">
        <v>128</v>
      </c>
      <c r="Q23" s="16" t="n">
        <f aca="false">N23/E23</f>
        <v>0.214347823178848</v>
      </c>
      <c r="R23" s="21" t="n">
        <f aca="false">IF(H23&lt;=0,"n/m",N23/H23)</f>
        <v>1.42131990952233</v>
      </c>
      <c r="S23" s="16" t="n">
        <f aca="false">K23/E23</f>
        <v>0.223524651019685</v>
      </c>
      <c r="T23" s="16" t="n">
        <f aca="false">IF(N32&lt;=0,"n/m",N23/N32)</f>
        <v>0.198639434699064</v>
      </c>
    </row>
    <row r="24" customFormat="false" ht="15" hidden="false" customHeight="false" outlineLevel="0" collapsed="false">
      <c r="A24" s="10" t="s">
        <v>129</v>
      </c>
      <c r="B24" s="10" t="s">
        <v>25</v>
      </c>
      <c r="C24" s="10" t="n">
        <v>2025</v>
      </c>
      <c r="D24" s="10" t="n">
        <v>3</v>
      </c>
      <c r="E24" s="15" t="n">
        <v>316855</v>
      </c>
      <c r="F24" s="7" t="s">
        <v>131</v>
      </c>
      <c r="G24" s="7" t="s">
        <v>132</v>
      </c>
      <c r="H24" s="15" t="n">
        <v>47484</v>
      </c>
      <c r="I24" s="7" t="s">
        <v>185</v>
      </c>
      <c r="J24" s="7" t="s">
        <v>132</v>
      </c>
      <c r="K24" s="15" t="n">
        <v>95144</v>
      </c>
      <c r="L24" s="7" t="s">
        <v>886</v>
      </c>
      <c r="M24" s="7" t="s">
        <v>132</v>
      </c>
      <c r="N24" s="15" t="n">
        <v>92301</v>
      </c>
      <c r="O24" s="7" t="s">
        <v>887</v>
      </c>
      <c r="P24" s="7" t="s">
        <v>132</v>
      </c>
      <c r="Q24" s="16" t="n">
        <f aca="false">N24/E24</f>
        <v>0.291303593126193</v>
      </c>
      <c r="R24" s="21" t="n">
        <f aca="false">IF(H24&lt;=0,"n/m",N24/H24)</f>
        <v>1.94383371240839</v>
      </c>
      <c r="S24" s="16" t="n">
        <f aca="false">K24/E24</f>
        <v>0.300276151551972</v>
      </c>
      <c r="T24" s="16" t="n">
        <f aca="false">IF(N32&lt;=0,"n/m",N24/N32)</f>
        <v>0.286062728568772</v>
      </c>
    </row>
    <row r="25" customFormat="false" ht="15" hidden="false" customHeight="false" outlineLevel="0" collapsed="false">
      <c r="A25" s="10" t="s">
        <v>133</v>
      </c>
      <c r="B25" s="10" t="s">
        <v>25</v>
      </c>
      <c r="C25" s="10" t="n">
        <v>2025</v>
      </c>
      <c r="D25" s="10" t="n">
        <v>4</v>
      </c>
      <c r="E25" s="15" t="n">
        <v>333878</v>
      </c>
      <c r="F25" s="7" t="s">
        <v>135</v>
      </c>
      <c r="G25" s="7" t="s">
        <v>136</v>
      </c>
      <c r="H25" s="15" t="n">
        <v>41931</v>
      </c>
      <c r="I25" s="7" t="s">
        <v>187</v>
      </c>
      <c r="J25" s="7" t="s">
        <v>136</v>
      </c>
      <c r="K25" s="15" t="n">
        <v>59693</v>
      </c>
      <c r="L25" s="7" t="s">
        <v>888</v>
      </c>
      <c r="M25" s="7" t="s">
        <v>136</v>
      </c>
      <c r="N25" s="15" t="n">
        <v>56734</v>
      </c>
      <c r="O25" s="7" t="s">
        <v>889</v>
      </c>
      <c r="P25" s="7" t="s">
        <v>136</v>
      </c>
      <c r="Q25" s="16" t="n">
        <f aca="false">N25/E25</f>
        <v>0.169924343622521</v>
      </c>
      <c r="R25" s="21" t="n">
        <f aca="false">IF(H25&lt;=0,"n/m",N25/H25)</f>
        <v>1.35303236269109</v>
      </c>
      <c r="S25" s="16" t="n">
        <f aca="false">K25/E25</f>
        <v>0.178786862267056</v>
      </c>
      <c r="T25" s="16" t="n">
        <f aca="false">IF(N32&lt;=0,"n/m",N25/N32)</f>
        <v>0.175832145292258</v>
      </c>
    </row>
    <row r="26" customFormat="false" ht="15" hidden="false" customHeight="false" outlineLevel="0" collapsed="false">
      <c r="A26" s="10" t="s">
        <v>138</v>
      </c>
      <c r="B26" s="10" t="s">
        <v>25</v>
      </c>
      <c r="C26" s="10" t="n">
        <v>2026</v>
      </c>
      <c r="D26" s="10" t="n">
        <v>1</v>
      </c>
      <c r="E26" s="15" t="n">
        <v>351265</v>
      </c>
      <c r="F26" s="7" t="s">
        <v>140</v>
      </c>
      <c r="G26" s="7" t="s">
        <v>141</v>
      </c>
      <c r="H26" s="15" t="n">
        <v>49037</v>
      </c>
      <c r="I26" s="7" t="s">
        <v>190</v>
      </c>
      <c r="J26" s="7" t="s">
        <v>141</v>
      </c>
      <c r="K26" s="15" t="n">
        <v>104687</v>
      </c>
      <c r="L26" s="7" t="s">
        <v>890</v>
      </c>
      <c r="M26" s="7" t="s">
        <v>141</v>
      </c>
      <c r="N26" s="15" t="n">
        <v>102778</v>
      </c>
      <c r="O26" s="7" t="s">
        <v>891</v>
      </c>
      <c r="P26" s="7" t="s">
        <v>141</v>
      </c>
      <c r="Q26" s="16" t="n">
        <f aca="false">N26/E26</f>
        <v>0.292593910580331</v>
      </c>
      <c r="R26" s="21" t="n">
        <f aca="false">IF(H26&lt;=0,"n/m",N26/H26)</f>
        <v>2.09592756489997</v>
      </c>
      <c r="S26" s="16" t="n">
        <f aca="false">K26/E26</f>
        <v>0.298028553940757</v>
      </c>
    </row>
    <row r="27" customFormat="false" ht="15" hidden="false" customHeight="false" outlineLevel="0" collapsed="false">
      <c r="A27" s="10" t="s">
        <v>143</v>
      </c>
      <c r="B27" s="10" t="s">
        <v>25</v>
      </c>
      <c r="C27" s="10" t="n">
        <v>2026</v>
      </c>
      <c r="D27" s="10" t="n">
        <v>2</v>
      </c>
      <c r="E27" s="15" t="n">
        <v>364621</v>
      </c>
      <c r="F27" s="7" t="s">
        <v>145</v>
      </c>
      <c r="G27" s="7" t="s">
        <v>146</v>
      </c>
      <c r="H27" s="15" t="n">
        <v>61110</v>
      </c>
      <c r="I27" s="7" t="s">
        <v>193</v>
      </c>
      <c r="J27" s="7" t="s">
        <v>146</v>
      </c>
      <c r="K27" s="15" t="n">
        <v>55354</v>
      </c>
      <c r="L27" s="7" t="s">
        <v>892</v>
      </c>
      <c r="M27" s="7" t="s">
        <v>146</v>
      </c>
      <c r="N27" s="15" t="n">
        <v>52344</v>
      </c>
      <c r="O27" s="7" t="s">
        <v>893</v>
      </c>
      <c r="P27" s="7" t="s">
        <v>146</v>
      </c>
      <c r="Q27" s="16" t="n">
        <f aca="false">N27/E27</f>
        <v>0.143557282767586</v>
      </c>
      <c r="R27" s="21" t="n">
        <f aca="false">IF(H27&lt;=0,"n/m",N27/H27)</f>
        <v>0.856553755522828</v>
      </c>
      <c r="S27" s="16" t="n">
        <f aca="false">K27/E27</f>
        <v>0.151812429892957</v>
      </c>
    </row>
    <row r="28" customFormat="false" ht="15" hidden="false" customHeight="false" outlineLevel="0" collapsed="false">
      <c r="A28" s="10" t="s">
        <v>230</v>
      </c>
      <c r="B28" s="10" t="s">
        <v>224</v>
      </c>
      <c r="C28" s="10" t="n">
        <v>2021</v>
      </c>
      <c r="D28" s="10" t="s">
        <v>764</v>
      </c>
      <c r="E28" s="15" t="n">
        <v>308150</v>
      </c>
      <c r="F28" s="7" t="s">
        <v>235</v>
      </c>
      <c r="G28" s="7" t="s">
        <v>62</v>
      </c>
      <c r="H28" s="15" t="n">
        <v>-52596</v>
      </c>
      <c r="I28" s="7" t="s">
        <v>233</v>
      </c>
      <c r="J28" s="7" t="s">
        <v>62</v>
      </c>
      <c r="K28" s="15" t="n">
        <v>16355</v>
      </c>
      <c r="L28" s="7" t="s">
        <v>894</v>
      </c>
      <c r="M28" s="7" t="s">
        <v>62</v>
      </c>
      <c r="N28" s="15" t="n">
        <v>9900</v>
      </c>
      <c r="O28" s="7" t="s">
        <v>895</v>
      </c>
      <c r="P28" s="7" t="s">
        <v>62</v>
      </c>
      <c r="Q28" s="16" t="n">
        <f aca="false">N28/E28</f>
        <v>0.0321272107739737</v>
      </c>
      <c r="R28" s="21" t="str">
        <f aca="false">IF(H28&lt;=0,"n/m",N28/H28)</f>
        <v>n/m</v>
      </c>
      <c r="S28" s="16" t="n">
        <f aca="false">K28/E28</f>
        <v>0.0530748012331657</v>
      </c>
    </row>
    <row r="29" customFormat="false" ht="15" hidden="false" customHeight="false" outlineLevel="0" collapsed="false">
      <c r="A29" s="10" t="s">
        <v>238</v>
      </c>
      <c r="B29" s="10" t="s">
        <v>224</v>
      </c>
      <c r="C29" s="10" t="n">
        <v>2022</v>
      </c>
      <c r="D29" s="10" t="s">
        <v>764</v>
      </c>
      <c r="E29" s="15" t="n">
        <v>519029</v>
      </c>
      <c r="F29" s="7" t="s">
        <v>242</v>
      </c>
      <c r="G29" s="7" t="s">
        <v>81</v>
      </c>
      <c r="H29" s="15" t="n">
        <v>-47095</v>
      </c>
      <c r="I29" s="7" t="s">
        <v>240</v>
      </c>
      <c r="J29" s="7" t="s">
        <v>81</v>
      </c>
      <c r="K29" s="15" t="n">
        <v>27138</v>
      </c>
      <c r="L29" s="7" t="s">
        <v>896</v>
      </c>
      <c r="M29" s="7" t="s">
        <v>81</v>
      </c>
      <c r="N29" s="15" t="n">
        <v>8137</v>
      </c>
      <c r="O29" s="7" t="s">
        <v>897</v>
      </c>
      <c r="P29" s="7" t="s">
        <v>81</v>
      </c>
      <c r="Q29" s="16" t="n">
        <f aca="false">N29/E29</f>
        <v>0.01567735136187</v>
      </c>
      <c r="R29" s="21" t="str">
        <f aca="false">IF(H29&lt;=0,"n/m",N29/H29)</f>
        <v>n/m</v>
      </c>
      <c r="S29" s="16" t="n">
        <f aca="false">K29/E29</f>
        <v>0.0522860957672885</v>
      </c>
    </row>
    <row r="30" customFormat="false" ht="15" hidden="false" customHeight="false" outlineLevel="0" collapsed="false">
      <c r="A30" s="10" t="s">
        <v>249</v>
      </c>
      <c r="B30" s="10" t="s">
        <v>224</v>
      </c>
      <c r="C30" s="10" t="n">
        <v>2023</v>
      </c>
      <c r="D30" s="10" t="s">
        <v>764</v>
      </c>
      <c r="E30" s="15" t="n">
        <v>729695</v>
      </c>
      <c r="F30" s="7" t="s">
        <v>253</v>
      </c>
      <c r="G30" s="7" t="s">
        <v>101</v>
      </c>
      <c r="H30" s="15" t="n">
        <v>61601</v>
      </c>
      <c r="I30" s="7" t="s">
        <v>251</v>
      </c>
      <c r="J30" s="7" t="s">
        <v>101</v>
      </c>
      <c r="K30" s="15" t="n">
        <v>215404</v>
      </c>
      <c r="L30" s="7" t="s">
        <v>898</v>
      </c>
      <c r="M30" s="7" t="s">
        <v>101</v>
      </c>
      <c r="N30" s="15" t="n">
        <v>204945</v>
      </c>
      <c r="O30" s="7" t="s">
        <v>899</v>
      </c>
      <c r="P30" s="7" t="s">
        <v>101</v>
      </c>
      <c r="Q30" s="16" t="n">
        <f aca="false">N30/E30</f>
        <v>0.280863922597798</v>
      </c>
      <c r="R30" s="21" t="n">
        <f aca="false">IF(H30&lt;=0,"n/m",N30/H30)</f>
        <v>3.32697521144137</v>
      </c>
      <c r="S30" s="16" t="n">
        <f aca="false">K30/E30</f>
        <v>0.295197308464495</v>
      </c>
    </row>
    <row r="31" customFormat="false" ht="15" hidden="false" customHeight="false" outlineLevel="0" collapsed="false">
      <c r="A31" s="10" t="s">
        <v>260</v>
      </c>
      <c r="B31" s="10" t="s">
        <v>224</v>
      </c>
      <c r="C31" s="10" t="n">
        <v>2024</v>
      </c>
      <c r="D31" s="10" t="s">
        <v>764</v>
      </c>
      <c r="E31" s="15" t="n">
        <v>971995</v>
      </c>
      <c r="F31" s="7" t="s">
        <v>266</v>
      </c>
      <c r="G31" s="7" t="s">
        <v>120</v>
      </c>
      <c r="H31" s="15" t="n">
        <v>132383</v>
      </c>
      <c r="I31" s="7" t="s">
        <v>264</v>
      </c>
      <c r="J31" s="7" t="s">
        <v>120</v>
      </c>
      <c r="K31" s="15" t="n">
        <v>311065</v>
      </c>
      <c r="L31" s="7" t="s">
        <v>900</v>
      </c>
      <c r="M31" s="7" t="s">
        <v>120</v>
      </c>
      <c r="N31" s="15" t="n">
        <v>295830</v>
      </c>
      <c r="O31" s="7" t="s">
        <v>262</v>
      </c>
      <c r="P31" s="7" t="s">
        <v>120</v>
      </c>
      <c r="Q31" s="16" t="n">
        <f aca="false">N31/E31</f>
        <v>0.304353417455851</v>
      </c>
      <c r="R31" s="21" t="n">
        <f aca="false">IF(H31&lt;=0,"n/m",N31/H31)</f>
        <v>2.23465248559105</v>
      </c>
      <c r="S31" s="16" t="n">
        <f aca="false">K31/E31</f>
        <v>0.320027366395918</v>
      </c>
    </row>
    <row r="32" customFormat="false" ht="15" hidden="false" customHeight="false" outlineLevel="0" collapsed="false">
      <c r="A32" s="10" t="s">
        <v>276</v>
      </c>
      <c r="B32" s="10" t="s">
        <v>224</v>
      </c>
      <c r="C32" s="10" t="n">
        <v>2025</v>
      </c>
      <c r="D32" s="10" t="s">
        <v>764</v>
      </c>
      <c r="E32" s="15" t="n">
        <v>1231997</v>
      </c>
      <c r="F32" s="7" t="s">
        <v>282</v>
      </c>
      <c r="G32" s="7" t="s">
        <v>136</v>
      </c>
      <c r="H32" s="15" t="n">
        <v>175263</v>
      </c>
      <c r="I32" s="7" t="s">
        <v>280</v>
      </c>
      <c r="J32" s="7" t="s">
        <v>136</v>
      </c>
      <c r="K32" s="15" t="n">
        <v>333644</v>
      </c>
      <c r="L32" s="7" t="s">
        <v>901</v>
      </c>
      <c r="M32" s="7" t="s">
        <v>136</v>
      </c>
      <c r="N32" s="15" t="n">
        <v>322660</v>
      </c>
      <c r="O32" s="7" t="s">
        <v>278</v>
      </c>
      <c r="P32" s="7" t="s">
        <v>136</v>
      </c>
      <c r="Q32" s="16" t="n">
        <f aca="false">N32/E32</f>
        <v>0.261899988392829</v>
      </c>
      <c r="R32" s="21" t="n">
        <f aca="false">IF(H32&lt;=0,"n/m",N32/H32)</f>
        <v>1.84100466156576</v>
      </c>
      <c r="S32" s="16" t="n">
        <f aca="false">K32/E32</f>
        <v>0.270815594518493</v>
      </c>
    </row>
    <row r="35" customFormat="false" ht="15" hidden="false" customHeight="false" outlineLevel="0" collapsed="false">
      <c r="A35" s="4" t="s">
        <v>902</v>
      </c>
    </row>
    <row r="36" customFormat="false" ht="15" hidden="false" customHeight="false" outlineLevel="0" collapsed="false">
      <c r="A36" s="8" t="s">
        <v>903</v>
      </c>
      <c r="B36" s="8" t="s">
        <v>904</v>
      </c>
      <c r="C36" s="8" t="s">
        <v>905</v>
      </c>
      <c r="D36" s="8" t="s">
        <v>906</v>
      </c>
      <c r="E36" s="8" t="s">
        <v>907</v>
      </c>
      <c r="F36" s="8" t="s">
        <v>908</v>
      </c>
    </row>
    <row r="37" customFormat="false" ht="22.35" hidden="false" customHeight="false" outlineLevel="0" collapsed="false">
      <c r="A37" s="9" t="s">
        <v>48</v>
      </c>
      <c r="B37" s="9" t="s">
        <v>48</v>
      </c>
      <c r="C37" s="9" t="s">
        <v>52</v>
      </c>
      <c r="D37" s="9" t="s">
        <v>52</v>
      </c>
      <c r="E37" s="9" t="s">
        <v>52</v>
      </c>
      <c r="F37" s="9" t="s">
        <v>52</v>
      </c>
    </row>
    <row r="38" customFormat="false" ht="15" hidden="false" customHeight="false" outlineLevel="0" collapsed="false">
      <c r="A38" s="10" t="s">
        <v>850</v>
      </c>
      <c r="B38" s="10" t="s">
        <v>909</v>
      </c>
      <c r="C38" s="16" t="n">
        <f aca="false">AVERAGEIFS($Q$6:$Q$32,$B$6:$B$32,"Quarter",$D$6:$D$32,1,$C$6:$C$32,"&gt;=2022",$C$6:$C$32,"&lt;=2025")</f>
        <v>0.222913357040417</v>
      </c>
      <c r="D38" s="16" t="n">
        <f aca="false">AVERAGEIFS($Q$6:$Q$32,$B$6:$B$32,"Quarter",$D$6:$D$32,2,$C$6:$C$32,"&gt;=2022",$C$6:$C$32,"&lt;=2025")</f>
        <v>0.133772243386755</v>
      </c>
      <c r="E38" s="16" t="n">
        <f aca="false">AVERAGEIFS($Q$6:$Q$32,$B$6:$B$32,"Quarter",$D$6:$D$32,3,$C$6:$C$32,"&gt;=2022",$C$6:$C$32,"&lt;=2025")</f>
        <v>0.266149234100093</v>
      </c>
      <c r="F38" s="16" t="n">
        <f aca="false">AVERAGEIFS($Q$6:$Q$32,$B$6:$B$32,"Quarter",$D$6:$D$32,4,$C$6:$C$32,"&gt;=2022",$C$6:$C$32,"&lt;=2025")</f>
        <v>0.228196869184966</v>
      </c>
    </row>
    <row r="39" customFormat="false" ht="15" hidden="false" customHeight="false" outlineLevel="0" collapsed="false">
      <c r="A39" s="10" t="s">
        <v>850</v>
      </c>
      <c r="B39" s="10" t="s">
        <v>910</v>
      </c>
      <c r="C39" s="16" t="n">
        <f aca="false">AVERAGEIFS($Q$6:$Q$32,$B$6:$B$32,"Quarter",$D$6:$D$32,1,$C$6:$C$32,"&gt;=2023",$C$6:$C$32,"&lt;=2025")</f>
        <v>0.346964192543746</v>
      </c>
      <c r="D39" s="16" t="n">
        <f aca="false">AVERAGEIFS($Q$6:$Q$32,$B$6:$B$32,"Quarter",$D$6:$D$32,2,$C$6:$C$32,"&gt;=2023",$C$6:$C$32,"&lt;=2025")</f>
        <v>0.230349498130939</v>
      </c>
      <c r="E39" s="16" t="n">
        <f aca="false">AVERAGEIFS($Q$6:$Q$32,$B$6:$B$32,"Quarter",$D$6:$D$32,3,$C$6:$C$32,"&gt;=2023",$C$6:$C$32,"&lt;=2025")</f>
        <v>0.320875594843311</v>
      </c>
      <c r="F39" s="16" t="n">
        <f aca="false">AVERAGEIFS($Q$6:$Q$32,$B$6:$B$32,"Quarter",$D$6:$D$32,4,$C$6:$C$32,"&gt;=2023",$C$6:$C$32,"&lt;=2025")</f>
        <v>0.238305532692367</v>
      </c>
    </row>
    <row r="40" customFormat="false" ht="15" hidden="false" customHeight="false" outlineLevel="0" collapsed="false">
      <c r="A40" s="10" t="s">
        <v>852</v>
      </c>
      <c r="B40" s="10" t="s">
        <v>910</v>
      </c>
      <c r="C40" s="16" t="n">
        <f aca="false">AVERAGEIFS($S$6:$S$32,$B$6:$B$32,"Quarter",$D$6:$D$32,1,$C$6:$C$32,"&gt;=2023",$C$6:$C$32,"&lt;=2025")</f>
        <v>0.361322573035558</v>
      </c>
      <c r="D40" s="16" t="n">
        <f aca="false">AVERAGEIFS($S$6:$S$32,$B$6:$B$32,"Quarter",$D$6:$D$32,2,$C$6:$C$32,"&gt;=2023",$C$6:$C$32,"&lt;=2025")</f>
        <v>0.24357329039588</v>
      </c>
      <c r="E40" s="16" t="n">
        <f aca="false">AVERAGEIFS($S$6:$S$32,$B$6:$B$32,"Quarter",$D$6:$D$32,3,$C$6:$C$32,"&gt;=2023",$C$6:$C$32,"&lt;=2025")</f>
        <v>0.332410685135431</v>
      </c>
      <c r="F40" s="16" t="n">
        <f aca="false">AVERAGEIFS($S$6:$S$32,$B$6:$B$32,"Quarter",$D$6:$D$32,4,$C$6:$C$32,"&gt;=2023",$C$6:$C$32,"&lt;=2025")</f>
        <v>0.251292041758045</v>
      </c>
    </row>
    <row r="41" customFormat="false" ht="15" hidden="false" customHeight="false" outlineLevel="0" collapsed="false">
      <c r="A41" s="10" t="s">
        <v>853</v>
      </c>
      <c r="B41" s="10" t="s">
        <v>910</v>
      </c>
      <c r="C41" s="16" t="n">
        <f aca="false">AVERAGEIFS($T$6:$T$32,$B$6:$B$32,"Quarter",$D$6:$D$32,1,$C$6:$C$32,"&gt;=2023",$C$6:$C$32,"&lt;=2025")</f>
        <v>0.277359826321637</v>
      </c>
      <c r="D41" s="16" t="n">
        <f aca="false">AVERAGEIFS($T$6:$T$32,$B$6:$B$32,"Quarter",$D$6:$D$32,2,$C$6:$C$32,"&gt;=2023",$C$6:$C$32,"&lt;=2025")</f>
        <v>0.198183110711039</v>
      </c>
      <c r="E41" s="16" t="n">
        <f aca="false">AVERAGEIFS($T$6:$T$32,$B$6:$B$32,"Quarter",$D$6:$D$32,3,$C$6:$C$32,"&gt;=2023",$C$6:$C$32,"&lt;=2025")</f>
        <v>0.293754391580101</v>
      </c>
      <c r="F41" s="16" t="n">
        <f aca="false">AVERAGEIFS($T$6:$T$32,$B$6:$B$32,"Quarter",$D$6:$D$32,4,$C$6:$C$32,"&gt;=2023",$C$6:$C$32,"&lt;=2025")</f>
        <v>0.230702671387223</v>
      </c>
    </row>
    <row r="42" customFormat="false" ht="15" hidden="false" customHeight="false" outlineLevel="0" collapsed="false">
      <c r="A42" s="7" t="s">
        <v>911</v>
      </c>
    </row>
    <row r="45" customFormat="false" ht="15" hidden="false" customHeight="false" outlineLevel="0" collapsed="false">
      <c r="A45" s="4" t="s">
        <v>912</v>
      </c>
    </row>
    <row r="46" customFormat="false" ht="23.85" hidden="false" customHeight="false" outlineLevel="0" collapsed="false">
      <c r="A46" s="8" t="s">
        <v>913</v>
      </c>
      <c r="B46" s="8" t="s">
        <v>914</v>
      </c>
      <c r="C46" s="8" t="s">
        <v>326</v>
      </c>
      <c r="D46" s="8" t="s">
        <v>27</v>
      </c>
      <c r="E46" s="8" t="s">
        <v>915</v>
      </c>
      <c r="F46" s="8" t="s">
        <v>326</v>
      </c>
      <c r="G46" s="8" t="s">
        <v>27</v>
      </c>
      <c r="H46" s="8" t="s">
        <v>916</v>
      </c>
      <c r="I46" s="8" t="s">
        <v>917</v>
      </c>
    </row>
    <row r="47" customFormat="false" ht="32.8" hidden="false" customHeight="false" outlineLevel="0" collapsed="false">
      <c r="A47" s="9" t="s">
        <v>48</v>
      </c>
      <c r="B47" s="9" t="s">
        <v>918</v>
      </c>
      <c r="C47" s="9" t="s">
        <v>49</v>
      </c>
      <c r="D47" s="9" t="s">
        <v>27</v>
      </c>
      <c r="E47" s="9" t="s">
        <v>918</v>
      </c>
      <c r="F47" s="9" t="s">
        <v>49</v>
      </c>
      <c r="G47" s="9" t="s">
        <v>27</v>
      </c>
      <c r="H47" s="9" t="s">
        <v>52</v>
      </c>
      <c r="I47" s="9" t="s">
        <v>48</v>
      </c>
    </row>
    <row r="48" customFormat="false" ht="15" hidden="false" customHeight="false" outlineLevel="0" collapsed="false">
      <c r="A48" s="10" t="s">
        <v>919</v>
      </c>
      <c r="B48" s="15" t="n">
        <v>1503149</v>
      </c>
      <c r="C48" s="7" t="s">
        <v>920</v>
      </c>
      <c r="D48" s="7" t="s">
        <v>136</v>
      </c>
      <c r="E48" s="15" t="n">
        <v>997135</v>
      </c>
      <c r="F48" s="7" t="s">
        <v>921</v>
      </c>
      <c r="G48" s="7" t="s">
        <v>141</v>
      </c>
      <c r="H48" s="22" t="n">
        <f aca="false">B48</f>
        <v>1503149</v>
      </c>
      <c r="I48" s="10" t="s">
        <v>922</v>
      </c>
    </row>
    <row r="49" customFormat="false" ht="15" hidden="false" customHeight="false" outlineLevel="0" collapsed="false">
      <c r="A49" s="10" t="s">
        <v>923</v>
      </c>
      <c r="B49" s="15" t="n">
        <v>104687</v>
      </c>
      <c r="C49" s="7" t="s">
        <v>890</v>
      </c>
      <c r="D49" s="7" t="s">
        <v>141</v>
      </c>
      <c r="E49" s="15" t="n">
        <v>55354</v>
      </c>
      <c r="F49" s="7" t="s">
        <v>892</v>
      </c>
      <c r="G49" s="7" t="s">
        <v>146</v>
      </c>
      <c r="H49" s="22" t="n">
        <f aca="false">B49+E49</f>
        <v>160041</v>
      </c>
      <c r="I49" s="10" t="s">
        <v>922</v>
      </c>
    </row>
    <row r="50" customFormat="false" ht="15" hidden="false" customHeight="false" outlineLevel="0" collapsed="false">
      <c r="A50" s="10" t="s">
        <v>924</v>
      </c>
      <c r="B50" s="15" t="n">
        <v>-2447</v>
      </c>
      <c r="C50" s="7" t="s">
        <v>925</v>
      </c>
      <c r="D50" s="7" t="s">
        <v>141</v>
      </c>
      <c r="E50" s="15" t="n">
        <v>-3790</v>
      </c>
      <c r="F50" s="7" t="s">
        <v>926</v>
      </c>
      <c r="G50" s="7" t="s">
        <v>146</v>
      </c>
      <c r="H50" s="22" t="n">
        <f aca="false">B50+E50</f>
        <v>-6237</v>
      </c>
      <c r="I50" s="10" t="s">
        <v>922</v>
      </c>
    </row>
    <row r="51" customFormat="false" ht="15" hidden="false" customHeight="false" outlineLevel="0" collapsed="false">
      <c r="A51" s="10" t="s">
        <v>927</v>
      </c>
      <c r="B51" s="15" t="n">
        <v>-484</v>
      </c>
      <c r="C51" s="7" t="s">
        <v>928</v>
      </c>
      <c r="D51" s="7" t="s">
        <v>141</v>
      </c>
      <c r="E51" s="15" t="n">
        <v>-1106</v>
      </c>
      <c r="F51" s="7" t="s">
        <v>929</v>
      </c>
      <c r="G51" s="7" t="s">
        <v>146</v>
      </c>
      <c r="H51" s="22" t="n">
        <f aca="false">B51+E51</f>
        <v>-1590</v>
      </c>
      <c r="I51" s="10" t="s">
        <v>922</v>
      </c>
    </row>
    <row r="52" customFormat="false" ht="15" hidden="false" customHeight="false" outlineLevel="0" collapsed="false">
      <c r="A52" s="10" t="s">
        <v>930</v>
      </c>
      <c r="B52" s="15" t="n">
        <v>-552612</v>
      </c>
      <c r="C52" s="7" t="s">
        <v>931</v>
      </c>
      <c r="D52" s="7" t="s">
        <v>141</v>
      </c>
      <c r="E52" s="15" t="n">
        <v>-182359</v>
      </c>
      <c r="F52" s="7" t="s">
        <v>932</v>
      </c>
      <c r="G52" s="7" t="s">
        <v>146</v>
      </c>
      <c r="H52" s="22" t="n">
        <f aca="false">B52+E52</f>
        <v>-734971</v>
      </c>
      <c r="I52" s="10" t="s">
        <v>922</v>
      </c>
    </row>
    <row r="53" customFormat="false" ht="15" hidden="false" customHeight="false" outlineLevel="0" collapsed="false">
      <c r="A53" s="10" t="s">
        <v>933</v>
      </c>
      <c r="B53" s="22" t="n">
        <f aca="false">B54-B48-SUM(B49:B52)</f>
        <v>-55158</v>
      </c>
      <c r="E53" s="22" t="n">
        <f aca="false">E54-E48-SUM(E49:E52)</f>
        <v>-11832</v>
      </c>
      <c r="H53" s="22" t="n">
        <f aca="false">B53+E53</f>
        <v>-66990</v>
      </c>
      <c r="I53" s="10" t="s">
        <v>934</v>
      </c>
    </row>
    <row r="54" customFormat="false" ht="15" hidden="false" customHeight="false" outlineLevel="0" collapsed="false">
      <c r="A54" s="10" t="s">
        <v>935</v>
      </c>
      <c r="B54" s="15" t="n">
        <v>997135</v>
      </c>
      <c r="C54" s="7" t="s">
        <v>921</v>
      </c>
      <c r="D54" s="7" t="s">
        <v>141</v>
      </c>
      <c r="E54" s="15" t="n">
        <v>853402</v>
      </c>
      <c r="F54" s="7" t="s">
        <v>936</v>
      </c>
      <c r="G54" s="7" t="s">
        <v>146</v>
      </c>
      <c r="H54" s="22" t="n">
        <f aca="false">E54</f>
        <v>853402</v>
      </c>
      <c r="I54" s="10" t="s">
        <v>922</v>
      </c>
    </row>
    <row r="56" customFormat="false" ht="15" hidden="false" customHeight="false" outlineLevel="0" collapsed="false">
      <c r="A56" s="10" t="s">
        <v>937</v>
      </c>
    </row>
    <row r="57" customFormat="false" ht="15" hidden="false" customHeight="false" outlineLevel="0" collapsed="false">
      <c r="A57" s="10" t="s">
        <v>938</v>
      </c>
      <c r="B57" s="15" t="n">
        <v>162308</v>
      </c>
      <c r="C57" s="7" t="s">
        <v>939</v>
      </c>
      <c r="D57" s="7" t="s">
        <v>136</v>
      </c>
    </row>
    <row r="58" customFormat="false" ht="15" hidden="false" customHeight="false" outlineLevel="0" collapsed="false">
      <c r="A58" s="10" t="s">
        <v>940</v>
      </c>
      <c r="B58" s="15" t="n">
        <v>215141</v>
      </c>
      <c r="C58" s="7" t="s">
        <v>941</v>
      </c>
      <c r="D58" s="7" t="s">
        <v>141</v>
      </c>
    </row>
    <row r="59" customFormat="false" ht="15" hidden="false" customHeight="false" outlineLevel="0" collapsed="false">
      <c r="A59" s="10" t="s">
        <v>942</v>
      </c>
      <c r="B59" s="15" t="n">
        <v>219353</v>
      </c>
      <c r="C59" s="7" t="s">
        <v>943</v>
      </c>
      <c r="D59" s="7" t="s">
        <v>146</v>
      </c>
    </row>
    <row r="60" customFormat="false" ht="15" hidden="false" customHeight="false" outlineLevel="0" collapsed="false">
      <c r="A60" s="10" t="s">
        <v>944</v>
      </c>
      <c r="H60" s="22" t="n">
        <f aca="false">(E54+B59)-(B48+B57)</f>
        <v>-592702</v>
      </c>
      <c r="I60" s="10" t="s">
        <v>945</v>
      </c>
    </row>
    <row r="61" customFormat="false" ht="15" hidden="false" customHeight="false" outlineLevel="0" collapsed="false">
      <c r="A61" s="10" t="s">
        <v>946</v>
      </c>
    </row>
    <row r="62" customFormat="false" ht="15" hidden="false" customHeight="false" outlineLevel="0" collapsed="false">
      <c r="A62" s="10" t="s">
        <v>947</v>
      </c>
      <c r="B62" s="15" t="n">
        <v>160041</v>
      </c>
      <c r="C62" s="7" t="s">
        <v>948</v>
      </c>
      <c r="D62" s="7" t="s">
        <v>146</v>
      </c>
    </row>
    <row r="63" customFormat="false" ht="15" hidden="false" customHeight="false" outlineLevel="0" collapsed="false">
      <c r="A63" s="10" t="s">
        <v>949</v>
      </c>
      <c r="B63" s="15" t="n">
        <v>-734971</v>
      </c>
      <c r="C63" s="7" t="s">
        <v>950</v>
      </c>
      <c r="D63" s="7"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4" min="3" style="0" width="9"/>
    <col collapsed="false" customWidth="true" hidden="false" outlineLevel="0" max="5" min="5" style="0" width="11"/>
    <col collapsed="false" customWidth="true" hidden="false" outlineLevel="0" max="7" min="6" style="0" width="9"/>
    <col collapsed="false" customWidth="true" hidden="false" outlineLevel="0" max="8" min="8" style="0" width="12"/>
    <col collapsed="false" customWidth="true" hidden="false" outlineLevel="0" max="10" min="9" style="0" width="9"/>
    <col collapsed="false" customWidth="true" hidden="false" outlineLevel="0" max="11" min="11" style="0" width="11"/>
    <col collapsed="false" customWidth="true" hidden="false" outlineLevel="0" max="12" min="12" style="0" width="60"/>
  </cols>
  <sheetData>
    <row r="1" customFormat="false" ht="16.15" hidden="false" customHeight="false" outlineLevel="0" collapsed="false">
      <c r="A1" s="6" t="s">
        <v>951</v>
      </c>
    </row>
    <row r="2" customFormat="false" ht="15" hidden="false" customHeight="false" outlineLevel="0" collapsed="false">
      <c r="A2" s="7" t="s">
        <v>952</v>
      </c>
    </row>
    <row r="4" customFormat="false" ht="68.65" hidden="false" customHeight="false" outlineLevel="0" collapsed="false">
      <c r="A4" s="8" t="s">
        <v>25</v>
      </c>
      <c r="B4" s="8" t="s">
        <v>325</v>
      </c>
      <c r="C4" s="8" t="s">
        <v>326</v>
      </c>
      <c r="D4" s="8" t="s">
        <v>27</v>
      </c>
      <c r="E4" s="8" t="s">
        <v>953</v>
      </c>
      <c r="F4" s="8" t="s">
        <v>954</v>
      </c>
      <c r="G4" s="8" t="s">
        <v>955</v>
      </c>
      <c r="H4" s="8" t="s">
        <v>956</v>
      </c>
      <c r="I4" s="8" t="s">
        <v>44</v>
      </c>
      <c r="J4" s="8" t="s">
        <v>45</v>
      </c>
      <c r="K4" s="8" t="s">
        <v>957</v>
      </c>
      <c r="L4" s="8" t="s">
        <v>958</v>
      </c>
    </row>
    <row r="5" customFormat="false" ht="32.8" hidden="false" customHeight="false" outlineLevel="0" collapsed="false">
      <c r="A5" s="9" t="s">
        <v>48</v>
      </c>
      <c r="B5" s="9" t="s">
        <v>51</v>
      </c>
      <c r="C5" s="9" t="s">
        <v>49</v>
      </c>
      <c r="D5" s="9" t="s">
        <v>27</v>
      </c>
      <c r="E5" s="9" t="s">
        <v>52</v>
      </c>
      <c r="F5" s="9" t="s">
        <v>52</v>
      </c>
      <c r="G5" s="9" t="s">
        <v>52</v>
      </c>
      <c r="H5" s="9" t="s">
        <v>51</v>
      </c>
      <c r="I5" s="9" t="s">
        <v>49</v>
      </c>
      <c r="J5" s="9" t="s">
        <v>27</v>
      </c>
      <c r="K5" s="9" t="s">
        <v>52</v>
      </c>
      <c r="L5" s="9" t="s">
        <v>48</v>
      </c>
    </row>
    <row r="6" customFormat="false" ht="15" hidden="false" customHeight="false" outlineLevel="0" collapsed="false">
      <c r="A6" s="10" t="s">
        <v>347</v>
      </c>
      <c r="B6" s="15" t="n">
        <v>58972</v>
      </c>
      <c r="C6" s="7" t="s">
        <v>348</v>
      </c>
      <c r="D6" s="7" t="s">
        <v>66</v>
      </c>
      <c r="L6" s="10" t="s">
        <v>959</v>
      </c>
    </row>
    <row r="7" customFormat="false" ht="15" hidden="false" customHeight="false" outlineLevel="0" collapsed="false">
      <c r="A7" s="10" t="s">
        <v>232</v>
      </c>
      <c r="B7" s="15" t="n">
        <v>70615</v>
      </c>
      <c r="C7" s="7" t="s">
        <v>352</v>
      </c>
      <c r="D7" s="7" t="s">
        <v>56</v>
      </c>
      <c r="L7" s="10" t="s">
        <v>959</v>
      </c>
    </row>
    <row r="8" customFormat="false" ht="15" hidden="false" customHeight="false" outlineLevel="0" collapsed="false">
      <c r="A8" s="10" t="s">
        <v>54</v>
      </c>
      <c r="B8" s="15" t="n">
        <v>83018</v>
      </c>
      <c r="C8" s="7" t="s">
        <v>57</v>
      </c>
      <c r="D8" s="7" t="s">
        <v>58</v>
      </c>
      <c r="L8" s="10" t="s">
        <v>959</v>
      </c>
    </row>
    <row r="9" customFormat="false" ht="15" hidden="false" customHeight="false" outlineLevel="0" collapsed="false">
      <c r="A9" s="10" t="s">
        <v>59</v>
      </c>
      <c r="B9" s="15" t="n">
        <v>95545</v>
      </c>
      <c r="C9" s="7" t="s">
        <v>61</v>
      </c>
      <c r="D9" s="7" t="s">
        <v>62</v>
      </c>
      <c r="L9" s="10" t="s">
        <v>959</v>
      </c>
    </row>
    <row r="10" customFormat="false" ht="15" hidden="false" customHeight="false" outlineLevel="0" collapsed="false">
      <c r="A10" s="10" t="s">
        <v>63</v>
      </c>
      <c r="B10" s="15" t="n">
        <v>108497</v>
      </c>
      <c r="C10" s="7" t="s">
        <v>65</v>
      </c>
      <c r="D10" s="7" t="s">
        <v>66</v>
      </c>
      <c r="E10" s="22" t="n">
        <f aca="false">B6</f>
        <v>58972</v>
      </c>
      <c r="F10" s="16" t="n">
        <f aca="false">B10/E10-1</f>
        <v>0.839805331343689</v>
      </c>
      <c r="H10" s="17" t="n">
        <v>-100</v>
      </c>
      <c r="I10" s="7" t="s">
        <v>67</v>
      </c>
      <c r="J10" s="7" t="s">
        <v>68</v>
      </c>
      <c r="K10" s="16" t="n">
        <f aca="false">F10-H10/10000</f>
        <v>0.849805331343689</v>
      </c>
      <c r="L10" s="10" t="s">
        <v>960</v>
      </c>
    </row>
    <row r="11" customFormat="false" ht="15" hidden="false" customHeight="false" outlineLevel="0" collapsed="false">
      <c r="A11" s="10" t="s">
        <v>69</v>
      </c>
      <c r="B11" s="15" t="n">
        <v>123718</v>
      </c>
      <c r="C11" s="7" t="s">
        <v>71</v>
      </c>
      <c r="D11" s="7" t="s">
        <v>72</v>
      </c>
      <c r="E11" s="22" t="n">
        <f aca="false">B7</f>
        <v>70615</v>
      </c>
      <c r="F11" s="16" t="n">
        <f aca="false">B11/E11-1</f>
        <v>0.752007363874531</v>
      </c>
      <c r="G11" s="23" t="n">
        <f aca="false">(F11-F10)*100</f>
        <v>-8.77979674691578</v>
      </c>
      <c r="H11" s="17" t="n">
        <v>-200</v>
      </c>
      <c r="I11" s="7" t="s">
        <v>73</v>
      </c>
      <c r="J11" s="7" t="s">
        <v>68</v>
      </c>
      <c r="K11" s="16" t="n">
        <f aca="false">F11-H11/10000</f>
        <v>0.772007363874531</v>
      </c>
      <c r="L11" s="10" t="s">
        <v>960</v>
      </c>
    </row>
    <row r="12" customFormat="false" ht="15" hidden="false" customHeight="false" outlineLevel="0" collapsed="false">
      <c r="A12" s="10" t="s">
        <v>74</v>
      </c>
      <c r="B12" s="15" t="n">
        <v>136893</v>
      </c>
      <c r="C12" s="7" t="s">
        <v>76</v>
      </c>
      <c r="D12" s="7" t="s">
        <v>68</v>
      </c>
      <c r="E12" s="22" t="n">
        <f aca="false">B8</f>
        <v>83018</v>
      </c>
      <c r="F12" s="16" t="n">
        <f aca="false">B12/E12-1</f>
        <v>0.648955648172686</v>
      </c>
      <c r="G12" s="23" t="n">
        <f aca="false">(F12-F11)*100</f>
        <v>-10.3051715701845</v>
      </c>
      <c r="H12" s="17" t="n">
        <v>-300</v>
      </c>
      <c r="I12" s="7" t="s">
        <v>77</v>
      </c>
      <c r="J12" s="7" t="s">
        <v>68</v>
      </c>
      <c r="K12" s="16" t="n">
        <f aca="false">F12-H12/10000</f>
        <v>0.678955648172686</v>
      </c>
      <c r="L12" s="10" t="s">
        <v>960</v>
      </c>
    </row>
    <row r="13" customFormat="false" ht="15" hidden="false" customHeight="false" outlineLevel="0" collapsed="false">
      <c r="A13" s="10" t="s">
        <v>78</v>
      </c>
      <c r="B13" s="15" t="n">
        <v>149921</v>
      </c>
      <c r="C13" s="7" t="s">
        <v>80</v>
      </c>
      <c r="D13" s="7" t="s">
        <v>81</v>
      </c>
      <c r="E13" s="22" t="n">
        <f aca="false">B9</f>
        <v>95545</v>
      </c>
      <c r="F13" s="16" t="n">
        <f aca="false">B13/E13-1</f>
        <v>0.569114030038202</v>
      </c>
      <c r="G13" s="23" t="n">
        <f aca="false">(F13-F12)*100</f>
        <v>-7.98416181344837</v>
      </c>
      <c r="H13" s="17" t="n">
        <v>-300</v>
      </c>
      <c r="I13" s="7" t="s">
        <v>82</v>
      </c>
      <c r="J13" s="7" t="s">
        <v>81</v>
      </c>
      <c r="K13" s="16" t="n">
        <f aca="false">F13-H13/10000</f>
        <v>0.599114030038202</v>
      </c>
      <c r="L13" s="10" t="s">
        <v>960</v>
      </c>
    </row>
    <row r="14" customFormat="false" ht="15" hidden="false" customHeight="false" outlineLevel="0" collapsed="false">
      <c r="A14" s="10" t="s">
        <v>83</v>
      </c>
      <c r="B14" s="15" t="n">
        <v>162256</v>
      </c>
      <c r="C14" s="7" t="s">
        <v>85</v>
      </c>
      <c r="D14" s="7" t="s">
        <v>86</v>
      </c>
      <c r="E14" s="22" t="n">
        <f aca="false">B10</f>
        <v>108497</v>
      </c>
      <c r="F14" s="16" t="n">
        <f aca="false">B14/E14-1</f>
        <v>0.495488354516715</v>
      </c>
      <c r="G14" s="23" t="n">
        <f aca="false">(F14-F13)*100</f>
        <v>-7.3625675521487</v>
      </c>
      <c r="H14" s="17" t="n">
        <v>-100</v>
      </c>
      <c r="I14" s="7" t="s">
        <v>87</v>
      </c>
      <c r="J14" s="7" t="s">
        <v>86</v>
      </c>
      <c r="K14" s="16" t="n">
        <f aca="false">F14-H14/10000</f>
        <v>0.505488354516715</v>
      </c>
      <c r="L14" s="10" t="s">
        <v>960</v>
      </c>
    </row>
    <row r="15" customFormat="false" ht="15" hidden="false" customHeight="false" outlineLevel="0" collapsed="false">
      <c r="A15" s="10" t="s">
        <v>88</v>
      </c>
      <c r="B15" s="15" t="n">
        <v>175679</v>
      </c>
      <c r="C15" s="7" t="s">
        <v>90</v>
      </c>
      <c r="D15" s="7" t="s">
        <v>91</v>
      </c>
      <c r="E15" s="22" t="n">
        <f aca="false">B11</f>
        <v>123718</v>
      </c>
      <c r="F15" s="16" t="n">
        <f aca="false">B15/E15-1</f>
        <v>0.419995473577006</v>
      </c>
      <c r="G15" s="23" t="n">
        <f aca="false">(F15-F14)*100</f>
        <v>-7.54928809397091</v>
      </c>
      <c r="H15" s="17" t="n">
        <v>-100</v>
      </c>
      <c r="I15" s="7" t="s">
        <v>92</v>
      </c>
      <c r="J15" s="7" t="s">
        <v>91</v>
      </c>
      <c r="K15" s="16" t="n">
        <f aca="false">F15-H15/10000</f>
        <v>0.429995473577006</v>
      </c>
      <c r="L15" s="10" t="s">
        <v>960</v>
      </c>
    </row>
    <row r="16" customFormat="false" ht="15" hidden="false" customHeight="false" outlineLevel="0" collapsed="false">
      <c r="A16" s="10" t="s">
        <v>93</v>
      </c>
      <c r="B16" s="15" t="n">
        <v>189190</v>
      </c>
      <c r="C16" s="7" t="s">
        <v>95</v>
      </c>
      <c r="D16" s="7" t="s">
        <v>96</v>
      </c>
      <c r="E16" s="22" t="n">
        <f aca="false">B12</f>
        <v>136893</v>
      </c>
      <c r="F16" s="16" t="n">
        <f aca="false">B16/E16-1</f>
        <v>0.382028299474772</v>
      </c>
      <c r="G16" s="23" t="n">
        <f aca="false">(F16-F15)*100</f>
        <v>-3.79671741022334</v>
      </c>
      <c r="H16" s="17" t="n">
        <v>0</v>
      </c>
      <c r="I16" s="7" t="s">
        <v>97</v>
      </c>
      <c r="J16" s="7" t="s">
        <v>96</v>
      </c>
      <c r="K16" s="16" t="n">
        <f aca="false">F16-H16/10000</f>
        <v>0.382028299474772</v>
      </c>
      <c r="L16" s="10" t="s">
        <v>960</v>
      </c>
    </row>
    <row r="17" customFormat="false" ht="15" hidden="false" customHeight="false" outlineLevel="0" collapsed="false">
      <c r="A17" s="10" t="s">
        <v>98</v>
      </c>
      <c r="B17" s="15" t="n">
        <v>202570</v>
      </c>
      <c r="C17" s="7" t="s">
        <v>100</v>
      </c>
      <c r="D17" s="7" t="s">
        <v>101</v>
      </c>
      <c r="E17" s="22" t="n">
        <f aca="false">B13</f>
        <v>149921</v>
      </c>
      <c r="F17" s="16" t="n">
        <f aca="false">B17/E17-1</f>
        <v>0.351178287231275</v>
      </c>
      <c r="G17" s="23" t="n">
        <f aca="false">(F17-F16)*100</f>
        <v>-3.08500122434972</v>
      </c>
      <c r="H17" s="17" t="n">
        <v>0</v>
      </c>
      <c r="I17" s="7" t="s">
        <v>102</v>
      </c>
      <c r="J17" s="7" t="s">
        <v>101</v>
      </c>
      <c r="K17" s="16" t="n">
        <f aca="false">F17-H17/10000</f>
        <v>0.351178287231275</v>
      </c>
      <c r="L17" s="10" t="s">
        <v>960</v>
      </c>
    </row>
    <row r="18" customFormat="false" ht="15" hidden="false" customHeight="false" outlineLevel="0" collapsed="false">
      <c r="A18" s="10" t="s">
        <v>103</v>
      </c>
      <c r="B18" s="15" t="n">
        <v>216913</v>
      </c>
      <c r="C18" s="7" t="s">
        <v>105</v>
      </c>
      <c r="D18" s="7" t="s">
        <v>106</v>
      </c>
      <c r="E18" s="22" t="n">
        <f aca="false">B14</f>
        <v>162256</v>
      </c>
      <c r="F18" s="16" t="n">
        <f aca="false">B18/E18-1</f>
        <v>0.336856572330145</v>
      </c>
      <c r="G18" s="23" t="n">
        <f aca="false">(F18-F17)*100</f>
        <v>-1.43217149011303</v>
      </c>
      <c r="H18" s="17" t="n">
        <v>0</v>
      </c>
      <c r="I18" s="7" t="s">
        <v>107</v>
      </c>
      <c r="J18" s="7" t="s">
        <v>106</v>
      </c>
      <c r="K18" s="16" t="n">
        <f aca="false">F18-H18/10000</f>
        <v>0.336856572330145</v>
      </c>
      <c r="L18" s="10" t="s">
        <v>960</v>
      </c>
    </row>
    <row r="19" customFormat="false" ht="15" hidden="false" customHeight="false" outlineLevel="0" collapsed="false">
      <c r="A19" s="10" t="s">
        <v>108</v>
      </c>
      <c r="B19" s="15" t="n">
        <v>236106</v>
      </c>
      <c r="C19" s="7" t="s">
        <v>110</v>
      </c>
      <c r="D19" s="7" t="s">
        <v>111</v>
      </c>
      <c r="E19" s="22" t="n">
        <f aca="false">B15</f>
        <v>175679</v>
      </c>
      <c r="F19" s="16" t="n">
        <f aca="false">B19/E19-1</f>
        <v>0.343962568092942</v>
      </c>
      <c r="G19" s="23" t="n">
        <f aca="false">(F19-F18)*100</f>
        <v>0.710599576279747</v>
      </c>
      <c r="H19" s="17" t="n">
        <v>0</v>
      </c>
      <c r="I19" s="7" t="s">
        <v>112</v>
      </c>
      <c r="J19" s="7" t="s">
        <v>111</v>
      </c>
      <c r="K19" s="16" t="n">
        <f aca="false">F19-H19/10000</f>
        <v>0.343962568092942</v>
      </c>
      <c r="L19" s="10" t="s">
        <v>960</v>
      </c>
    </row>
    <row r="20" customFormat="false" ht="15" hidden="false" customHeight="false" outlineLevel="0" collapsed="false">
      <c r="A20" s="10" t="s">
        <v>113</v>
      </c>
      <c r="B20" s="15" t="n">
        <v>251000</v>
      </c>
      <c r="C20" s="7" t="s">
        <v>115</v>
      </c>
      <c r="D20" s="7" t="s">
        <v>116</v>
      </c>
      <c r="E20" s="22" t="n">
        <f aca="false">B16</f>
        <v>189190</v>
      </c>
      <c r="F20" s="16" t="n">
        <f aca="false">B20/E20-1</f>
        <v>0.326708599820287</v>
      </c>
      <c r="G20" s="23" t="n">
        <f aca="false">(F20-F19)*100</f>
        <v>-1.72539682726558</v>
      </c>
      <c r="L20" s="10" t="s">
        <v>961</v>
      </c>
    </row>
    <row r="21" customFormat="false" ht="15" hidden="false" customHeight="false" outlineLevel="0" collapsed="false">
      <c r="A21" s="10" t="s">
        <v>117</v>
      </c>
      <c r="B21" s="15" t="n">
        <v>267976</v>
      </c>
      <c r="C21" s="7" t="s">
        <v>119</v>
      </c>
      <c r="D21" s="7" t="s">
        <v>120</v>
      </c>
      <c r="E21" s="22" t="n">
        <f aca="false">B17</f>
        <v>202570</v>
      </c>
      <c r="F21" s="16" t="n">
        <f aca="false">B21/E21-1</f>
        <v>0.322880979414523</v>
      </c>
      <c r="G21" s="23" t="n">
        <f aca="false">(F21-F20)*100</f>
        <v>-0.382762040576323</v>
      </c>
      <c r="L21" s="10" t="s">
        <v>961</v>
      </c>
    </row>
    <row r="22" customFormat="false" ht="15" hidden="false" customHeight="false" outlineLevel="0" collapsed="false">
      <c r="A22" s="10" t="s">
        <v>121</v>
      </c>
      <c r="B22" s="15" t="n">
        <v>282250</v>
      </c>
      <c r="C22" s="7" t="s">
        <v>123</v>
      </c>
      <c r="D22" s="7" t="s">
        <v>124</v>
      </c>
      <c r="E22" s="22" t="n">
        <f aca="false">B18</f>
        <v>216913</v>
      </c>
      <c r="F22" s="16" t="n">
        <f aca="false">B22/E22-1</f>
        <v>0.301212928685694</v>
      </c>
      <c r="G22" s="23" t="n">
        <f aca="false">(F22-F21)*100</f>
        <v>-2.16680507288292</v>
      </c>
      <c r="L22" s="10" t="s">
        <v>961</v>
      </c>
    </row>
    <row r="23" customFormat="false" ht="15" hidden="false" customHeight="false" outlineLevel="0" collapsed="false">
      <c r="A23" s="10" t="s">
        <v>125</v>
      </c>
      <c r="B23" s="15" t="n">
        <v>299014</v>
      </c>
      <c r="C23" s="7" t="s">
        <v>127</v>
      </c>
      <c r="D23" s="7" t="s">
        <v>128</v>
      </c>
      <c r="E23" s="22" t="n">
        <f aca="false">B19</f>
        <v>236106</v>
      </c>
      <c r="F23" s="16" t="n">
        <f aca="false">B23/E23-1</f>
        <v>0.266439649987717</v>
      </c>
      <c r="G23" s="23" t="n">
        <f aca="false">(F23-F22)*100</f>
        <v>-3.47732786979769</v>
      </c>
      <c r="L23" s="10" t="s">
        <v>961</v>
      </c>
    </row>
    <row r="24" customFormat="false" ht="15" hidden="false" customHeight="false" outlineLevel="0" collapsed="false">
      <c r="A24" s="10" t="s">
        <v>129</v>
      </c>
      <c r="B24" s="15" t="n">
        <v>316855</v>
      </c>
      <c r="C24" s="7" t="s">
        <v>131</v>
      </c>
      <c r="D24" s="7" t="s">
        <v>132</v>
      </c>
      <c r="E24" s="22" t="n">
        <f aca="false">B20</f>
        <v>251000</v>
      </c>
      <c r="F24" s="16" t="n">
        <f aca="false">B24/E24-1</f>
        <v>0.262370517928287</v>
      </c>
      <c r="G24" s="23" t="n">
        <f aca="false">(F24-F23)*100</f>
        <v>-0.406913205943038</v>
      </c>
      <c r="L24" s="10" t="s">
        <v>961</v>
      </c>
    </row>
    <row r="25" customFormat="false" ht="15" hidden="false" customHeight="false" outlineLevel="0" collapsed="false">
      <c r="A25" s="10" t="s">
        <v>133</v>
      </c>
      <c r="B25" s="15" t="n">
        <v>333878</v>
      </c>
      <c r="C25" s="7" t="s">
        <v>135</v>
      </c>
      <c r="D25" s="7" t="s">
        <v>136</v>
      </c>
      <c r="E25" s="22" t="n">
        <f aca="false">B21</f>
        <v>267976</v>
      </c>
      <c r="F25" s="16" t="n">
        <f aca="false">B25/E25-1</f>
        <v>0.24592500820969</v>
      </c>
      <c r="G25" s="23" t="n">
        <f aca="false">(F25-F24)*100</f>
        <v>-1.64455097185965</v>
      </c>
      <c r="L25" s="10" t="s">
        <v>961</v>
      </c>
    </row>
    <row r="26" customFormat="false" ht="15" hidden="false" customHeight="false" outlineLevel="0" collapsed="false">
      <c r="A26" s="10" t="s">
        <v>138</v>
      </c>
      <c r="B26" s="15" t="n">
        <v>351265</v>
      </c>
      <c r="C26" s="7" t="s">
        <v>140</v>
      </c>
      <c r="D26" s="7" t="s">
        <v>141</v>
      </c>
      <c r="E26" s="22" t="n">
        <f aca="false">B22</f>
        <v>282250</v>
      </c>
      <c r="F26" s="16" t="n">
        <f aca="false">B26/E26-1</f>
        <v>0.244517271922055</v>
      </c>
      <c r="G26" s="23" t="n">
        <f aca="false">(F26-F25)*100</f>
        <v>-0.140773628763546</v>
      </c>
      <c r="L26" s="10" t="s">
        <v>961</v>
      </c>
    </row>
    <row r="27" customFormat="false" ht="15" hidden="false" customHeight="false" outlineLevel="0" collapsed="false">
      <c r="A27" s="10" t="s">
        <v>143</v>
      </c>
      <c r="B27" s="15" t="n">
        <v>364621</v>
      </c>
      <c r="C27" s="7" t="s">
        <v>145</v>
      </c>
      <c r="D27" s="7" t="s">
        <v>146</v>
      </c>
      <c r="E27" s="22" t="n">
        <f aca="false">B23</f>
        <v>299014</v>
      </c>
      <c r="F27" s="16" t="n">
        <f aca="false">B27/E27-1</f>
        <v>0.21941113125138</v>
      </c>
      <c r="G27" s="23" t="n">
        <f aca="false">(F27-F26)*100</f>
        <v>-2.51061406706754</v>
      </c>
      <c r="H27" s="17" t="n">
        <v>110</v>
      </c>
      <c r="I27" s="7" t="s">
        <v>147</v>
      </c>
      <c r="J27" s="7" t="s">
        <v>146</v>
      </c>
      <c r="K27" s="16" t="n">
        <f aca="false">F27-H27/10000</f>
        <v>0.20841113125138</v>
      </c>
      <c r="L27" s="10" t="s">
        <v>962</v>
      </c>
    </row>
    <row r="30" customFormat="false" ht="15" hidden="false" customHeight="false" outlineLevel="0" collapsed="false">
      <c r="A30" s="4" t="s">
        <v>963</v>
      </c>
    </row>
    <row r="31" customFormat="false" ht="23.85" hidden="false" customHeight="false" outlineLevel="0" collapsed="false">
      <c r="A31" s="8" t="s">
        <v>964</v>
      </c>
      <c r="B31" s="8" t="s">
        <v>296</v>
      </c>
      <c r="C31" s="8" t="s">
        <v>965</v>
      </c>
      <c r="D31" s="8" t="s">
        <v>297</v>
      </c>
      <c r="E31" s="8" t="s">
        <v>298</v>
      </c>
      <c r="F31" s="8" t="s">
        <v>966</v>
      </c>
      <c r="G31" s="8" t="s">
        <v>967</v>
      </c>
    </row>
    <row r="32" customFormat="false" ht="22.35" hidden="false" customHeight="false" outlineLevel="0" collapsed="false">
      <c r="A32" s="9" t="s">
        <v>48</v>
      </c>
      <c r="B32" s="9" t="s">
        <v>918</v>
      </c>
      <c r="C32" s="9" t="s">
        <v>918</v>
      </c>
      <c r="D32" s="9" t="s">
        <v>918</v>
      </c>
      <c r="E32" s="9" t="s">
        <v>48</v>
      </c>
      <c r="F32" s="9" t="s">
        <v>49</v>
      </c>
      <c r="G32" s="9" t="s">
        <v>48</v>
      </c>
    </row>
    <row r="33" customFormat="false" ht="15" hidden="false" customHeight="false" outlineLevel="0" collapsed="false">
      <c r="A33" s="10" t="s">
        <v>968</v>
      </c>
      <c r="B33" s="13" t="n">
        <v>368</v>
      </c>
      <c r="C33" s="14" t="n">
        <f aca="false">(B33+D33)/2</f>
        <v>369</v>
      </c>
      <c r="D33" s="13" t="n">
        <v>370</v>
      </c>
      <c r="E33" s="10" t="s">
        <v>969</v>
      </c>
      <c r="F33" s="7" t="s">
        <v>970</v>
      </c>
      <c r="G33" s="10" t="s">
        <v>971</v>
      </c>
    </row>
    <row r="34" customFormat="false" ht="15" hidden="false" customHeight="false" outlineLevel="0" collapsed="false">
      <c r="A34" s="10" t="s">
        <v>972</v>
      </c>
      <c r="C34" s="15" t="n">
        <v>316855</v>
      </c>
      <c r="E34" s="10" t="s">
        <v>973</v>
      </c>
      <c r="F34" s="7" t="s">
        <v>974</v>
      </c>
      <c r="G34" s="10" t="s">
        <v>975</v>
      </c>
    </row>
    <row r="35" customFormat="false" ht="15" hidden="false" customHeight="false" outlineLevel="0" collapsed="false">
      <c r="A35" s="10" t="s">
        <v>976</v>
      </c>
      <c r="B35" s="16" t="n">
        <f aca="false">B33*1000/C34-1</f>
        <v>0.161414527149643</v>
      </c>
      <c r="C35" s="16" t="n">
        <f aca="false">C33*1000/C34-1</f>
        <v>0.164570544886462</v>
      </c>
      <c r="D35" s="16" t="n">
        <f aca="false">D33*1000/C34-1</f>
        <v>0.167726562623282</v>
      </c>
      <c r="E35" s="10" t="s">
        <v>977</v>
      </c>
      <c r="G35" s="10" t="s">
        <v>978</v>
      </c>
    </row>
    <row r="36" customFormat="false" ht="15" hidden="false" customHeight="false" outlineLevel="0" collapsed="false">
      <c r="A36" s="10" t="s">
        <v>979</v>
      </c>
      <c r="B36" s="13" t="n">
        <v>1466</v>
      </c>
      <c r="C36" s="14" t="n">
        <f aca="false">(B36+D36)/2</f>
        <v>1470</v>
      </c>
      <c r="D36" s="13" t="n">
        <v>1474</v>
      </c>
      <c r="E36" s="10" t="s">
        <v>969</v>
      </c>
      <c r="F36" s="7" t="s">
        <v>980</v>
      </c>
      <c r="G36" s="10" t="s">
        <v>971</v>
      </c>
    </row>
    <row r="37" customFormat="false" ht="15" hidden="false" customHeight="false" outlineLevel="0" collapsed="false">
      <c r="A37" s="10" t="s">
        <v>981</v>
      </c>
      <c r="C37" s="15" t="n">
        <v>1231997</v>
      </c>
      <c r="E37" s="10" t="s">
        <v>973</v>
      </c>
      <c r="F37" s="7" t="s">
        <v>982</v>
      </c>
      <c r="G37" s="10" t="s">
        <v>975</v>
      </c>
    </row>
    <row r="38" customFormat="false" ht="15" hidden="false" customHeight="false" outlineLevel="0" collapsed="false">
      <c r="A38" s="10" t="s">
        <v>983</v>
      </c>
      <c r="B38" s="16" t="n">
        <f aca="false">B36*1000/C37-1</f>
        <v>0.189937962511272</v>
      </c>
      <c r="C38" s="16" t="n">
        <f aca="false">C36*1000/C37-1</f>
        <v>0.1931847236641</v>
      </c>
      <c r="D38" s="16" t="n">
        <f aca="false">D36*1000/C37-1</f>
        <v>0.196431484816927</v>
      </c>
      <c r="E38" s="10" t="s">
        <v>977</v>
      </c>
      <c r="G38" s="10" t="s">
        <v>984</v>
      </c>
    </row>
    <row r="39" customFormat="false" ht="15" hidden="false" customHeight="false" outlineLevel="0" collapsed="false">
      <c r="A39" s="10" t="s">
        <v>985</v>
      </c>
      <c r="C39" s="15" t="n">
        <v>715886</v>
      </c>
      <c r="E39" s="10" t="s">
        <v>973</v>
      </c>
      <c r="F39" s="7" t="s">
        <v>986</v>
      </c>
      <c r="G39" s="10" t="s">
        <v>975</v>
      </c>
    </row>
    <row r="40" customFormat="false" ht="15" hidden="false" customHeight="false" outlineLevel="0" collapsed="false">
      <c r="A40" s="10" t="s">
        <v>987</v>
      </c>
      <c r="C40" s="15" t="n">
        <v>581264</v>
      </c>
      <c r="E40" s="10" t="s">
        <v>973</v>
      </c>
      <c r="F40" s="7" t="s">
        <v>988</v>
      </c>
      <c r="G40" s="10" t="s">
        <v>975</v>
      </c>
    </row>
    <row r="41" customFormat="false" ht="15" hidden="false" customHeight="false" outlineLevel="0" collapsed="false">
      <c r="A41" s="10" t="s">
        <v>989</v>
      </c>
      <c r="C41" s="16" t="n">
        <f aca="false">C39/C40-1</f>
        <v>0.231602163560792</v>
      </c>
      <c r="E41" s="10" t="s">
        <v>977</v>
      </c>
      <c r="G41" s="10" t="s">
        <v>990</v>
      </c>
    </row>
    <row r="42" customFormat="false" ht="15" hidden="false" customHeight="false" outlineLevel="0" collapsed="false">
      <c r="A42" s="10" t="s">
        <v>991</v>
      </c>
      <c r="B42" s="22" t="n">
        <f aca="false">B36*1000-C39</f>
        <v>750114</v>
      </c>
      <c r="C42" s="22" t="n">
        <f aca="false">C36*1000-C39</f>
        <v>754114</v>
      </c>
      <c r="D42" s="22" t="n">
        <f aca="false">D36*1000-C39</f>
        <v>758114</v>
      </c>
      <c r="E42" s="10" t="s">
        <v>973</v>
      </c>
      <c r="G42" s="10" t="s">
        <v>992</v>
      </c>
    </row>
    <row r="43" customFormat="false" ht="15" hidden="false" customHeight="false" outlineLevel="0" collapsed="false">
      <c r="A43" s="10" t="s">
        <v>993</v>
      </c>
      <c r="C43" s="22" t="n">
        <f aca="false">C37-C40</f>
        <v>650733</v>
      </c>
      <c r="E43" s="10" t="s">
        <v>973</v>
      </c>
      <c r="G43" s="10" t="s">
        <v>994</v>
      </c>
    </row>
    <row r="44" customFormat="false" ht="15" hidden="false" customHeight="false" outlineLevel="0" collapsed="false">
      <c r="A44" s="10" t="s">
        <v>995</v>
      </c>
      <c r="B44" s="16" t="n">
        <f aca="false">B42/C43-1</f>
        <v>0.152721623154197</v>
      </c>
      <c r="C44" s="16" t="n">
        <f aca="false">C42/C43-1</f>
        <v>0.158868537480042</v>
      </c>
      <c r="D44" s="16" t="n">
        <f aca="false">D42/C43-1</f>
        <v>0.165015451805887</v>
      </c>
      <c r="E44" s="10" t="s">
        <v>977</v>
      </c>
      <c r="G44" s="10" t="s">
        <v>996</v>
      </c>
    </row>
    <row r="45" customFormat="false" ht="15" hidden="false" customHeight="false" outlineLevel="0" collapsed="false">
      <c r="A45" s="10" t="s">
        <v>997</v>
      </c>
      <c r="B45" s="22" t="n">
        <f aca="false">B42-B33*1000</f>
        <v>382114</v>
      </c>
      <c r="C45" s="22" t="n">
        <f aca="false">C42-C33*1000</f>
        <v>385114</v>
      </c>
      <c r="D45" s="22" t="n">
        <f aca="false">D42-D33*1000</f>
        <v>388114</v>
      </c>
      <c r="E45" s="10" t="s">
        <v>973</v>
      </c>
      <c r="G45" s="10" t="s">
        <v>998</v>
      </c>
    </row>
    <row r="46" customFormat="false" ht="15" hidden="false" customHeight="false" outlineLevel="0" collapsed="false">
      <c r="A46" s="10" t="s">
        <v>999</v>
      </c>
      <c r="C46" s="15" t="n">
        <v>333878</v>
      </c>
      <c r="E46" s="10" t="s">
        <v>973</v>
      </c>
      <c r="F46" s="7" t="s">
        <v>1000</v>
      </c>
      <c r="G46" s="10" t="s">
        <v>975</v>
      </c>
    </row>
    <row r="47" customFormat="false" ht="15" hidden="false" customHeight="false" outlineLevel="0" collapsed="false">
      <c r="A47" s="10" t="s">
        <v>1001</v>
      </c>
      <c r="B47" s="16" t="n">
        <f aca="false">B45/C46-1</f>
        <v>0.144471932861704</v>
      </c>
      <c r="C47" s="16" t="n">
        <f aca="false">C45/C46-1</f>
        <v>0.153457250852108</v>
      </c>
      <c r="D47" s="16" t="n">
        <f aca="false">D45/C46-1</f>
        <v>0.162442568842511</v>
      </c>
      <c r="E47" s="10" t="s">
        <v>977</v>
      </c>
      <c r="G47" s="10" t="s">
        <v>1002</v>
      </c>
    </row>
    <row r="48" customFormat="false" ht="15" hidden="false" customHeight="false" outlineLevel="0" collapsed="false">
      <c r="A48" s="10" t="s">
        <v>1003</v>
      </c>
      <c r="B48" s="16" t="n">
        <f aca="false">B45/(B33*1000)-1</f>
        <v>0.0383532608695651</v>
      </c>
      <c r="C48" s="16" t="n">
        <f aca="false">C45/(C33*1000)-1</f>
        <v>0.043669376693767</v>
      </c>
      <c r="D48" s="16" t="n">
        <f aca="false">D45/(D33*1000)-1</f>
        <v>0.0489567567567568</v>
      </c>
      <c r="E48" s="10" t="s">
        <v>977</v>
      </c>
      <c r="G48" s="10" t="s">
        <v>1004</v>
      </c>
    </row>
    <row r="50" customFormat="false" ht="15" hidden="false" customHeight="false" outlineLevel="0" collapsed="false">
      <c r="A50" s="10" t="s">
        <v>1005</v>
      </c>
      <c r="B50" s="13" t="n">
        <v>230</v>
      </c>
      <c r="C50" s="14" t="n">
        <f aca="false">(B50+D50)/2</f>
        <v>232</v>
      </c>
      <c r="D50" s="13" t="n">
        <v>234</v>
      </c>
      <c r="E50" s="10" t="s">
        <v>969</v>
      </c>
      <c r="F50" s="7" t="s">
        <v>1006</v>
      </c>
      <c r="G50" s="10" t="s">
        <v>971</v>
      </c>
    </row>
    <row r="51" customFormat="false" ht="15" hidden="false" customHeight="false" outlineLevel="0" collapsed="false">
      <c r="A51" s="10" t="s">
        <v>1007</v>
      </c>
      <c r="C51" s="15" t="n">
        <v>110147</v>
      </c>
      <c r="E51" s="10" t="s">
        <v>973</v>
      </c>
      <c r="F51" s="7" t="s">
        <v>1008</v>
      </c>
      <c r="G51" s="10" t="s">
        <v>975</v>
      </c>
    </row>
    <row r="52" customFormat="false" ht="15" hidden="false" customHeight="false" outlineLevel="0" collapsed="false">
      <c r="A52" s="10" t="s">
        <v>1009</v>
      </c>
      <c r="B52" s="22" t="n">
        <f aca="false">B50*1000-C51</f>
        <v>119853</v>
      </c>
      <c r="C52" s="22" t="n">
        <f aca="false">C50*1000-C51</f>
        <v>121853</v>
      </c>
      <c r="D52" s="22" t="n">
        <f aca="false">D50*1000-C51</f>
        <v>123853</v>
      </c>
      <c r="E52" s="10" t="s">
        <v>973</v>
      </c>
      <c r="G52" s="10" t="s">
        <v>1010</v>
      </c>
    </row>
    <row r="53" customFormat="false" ht="15" hidden="false" customHeight="false" outlineLevel="0" collapsed="false">
      <c r="A53" s="10" t="s">
        <v>1011</v>
      </c>
      <c r="B53" s="16" t="n">
        <f aca="false">B52/B42</f>
        <v>0.159779713483551</v>
      </c>
      <c r="C53" s="16" t="n">
        <f aca="false">C52/C42</f>
        <v>0.161584322794697</v>
      </c>
      <c r="D53" s="16" t="n">
        <f aca="false">D52/D42</f>
        <v>0.163369888961291</v>
      </c>
      <c r="E53" s="10" t="s">
        <v>977</v>
      </c>
      <c r="G53" s="10" t="s">
        <v>1012</v>
      </c>
    </row>
    <row r="54" customFormat="false" ht="15" hidden="false" customHeight="false" outlineLevel="0" collapsed="false">
      <c r="A54" s="10" t="s">
        <v>1013</v>
      </c>
      <c r="B54" s="13" t="n">
        <v>57</v>
      </c>
      <c r="C54" s="14" t="n">
        <f aca="false">(B54+D54)/2</f>
        <v>58</v>
      </c>
      <c r="D54" s="13" t="n">
        <v>59</v>
      </c>
      <c r="E54" s="10" t="s">
        <v>969</v>
      </c>
      <c r="F54" s="7" t="s">
        <v>1014</v>
      </c>
      <c r="G54" s="10" t="s">
        <v>971</v>
      </c>
    </row>
    <row r="55" customFormat="false" ht="15" hidden="false" customHeight="false" outlineLevel="0" collapsed="false">
      <c r="A55" s="10" t="s">
        <v>1015</v>
      </c>
      <c r="B55" s="22" t="n">
        <f aca="false">B52-B54*1000</f>
        <v>62853</v>
      </c>
      <c r="C55" s="22" t="n">
        <f aca="false">C52-C54*1000</f>
        <v>63853</v>
      </c>
      <c r="D55" s="22" t="n">
        <f aca="false">D52-D54*1000</f>
        <v>64853</v>
      </c>
      <c r="E55" s="10" t="s">
        <v>973</v>
      </c>
      <c r="G55" s="10" t="s">
        <v>1016</v>
      </c>
    </row>
    <row r="56" customFormat="false" ht="15" hidden="false" customHeight="false" outlineLevel="0" collapsed="false">
      <c r="A56" s="10" t="s">
        <v>1017</v>
      </c>
      <c r="B56" s="16" t="n">
        <f aca="false">B55/B45</f>
        <v>0.164487561303695</v>
      </c>
      <c r="C56" s="16" t="n">
        <f aca="false">C55/C45</f>
        <v>0.165802853181136</v>
      </c>
      <c r="D56" s="16" t="n">
        <f aca="false">D55/D45</f>
        <v>0.167097811467765</v>
      </c>
      <c r="E56" s="10" t="s">
        <v>977</v>
      </c>
      <c r="G56" s="10" t="s">
        <v>1018</v>
      </c>
    </row>
    <row r="57" customFormat="false" ht="15" hidden="false" customHeight="false" outlineLevel="0" collapsed="false">
      <c r="A57" s="10" t="s">
        <v>1019</v>
      </c>
      <c r="B57" s="13" t="n">
        <v>280</v>
      </c>
      <c r="C57" s="14" t="n">
        <f aca="false">(B57+D57)/2</f>
        <v>285</v>
      </c>
      <c r="D57" s="13" t="n">
        <v>290</v>
      </c>
      <c r="E57" s="10" t="s">
        <v>969</v>
      </c>
      <c r="F57" s="7" t="s">
        <v>1020</v>
      </c>
      <c r="G57" s="10" t="s">
        <v>971</v>
      </c>
    </row>
    <row r="58" customFormat="false" ht="15" hidden="false" customHeight="false" outlineLevel="0" collapsed="false">
      <c r="A58" s="10" t="s">
        <v>1021</v>
      </c>
      <c r="C58" s="15" t="n">
        <v>155122</v>
      </c>
      <c r="E58" s="10" t="s">
        <v>973</v>
      </c>
      <c r="F58" s="7" t="s">
        <v>1022</v>
      </c>
      <c r="G58" s="10" t="s">
        <v>975</v>
      </c>
    </row>
    <row r="59" customFormat="false" ht="15" hidden="false" customHeight="false" outlineLevel="0" collapsed="false">
      <c r="A59" s="10" t="s">
        <v>1023</v>
      </c>
      <c r="B59" s="22" t="n">
        <f aca="false">B57*1000-C58</f>
        <v>124878</v>
      </c>
      <c r="C59" s="22" t="n">
        <f aca="false">C57*1000-C58</f>
        <v>129878</v>
      </c>
      <c r="D59" s="22" t="n">
        <f aca="false">D57*1000-C58</f>
        <v>134878</v>
      </c>
      <c r="E59" s="10" t="s">
        <v>973</v>
      </c>
      <c r="G59" s="10" t="s">
        <v>1010</v>
      </c>
    </row>
    <row r="60" customFormat="false" ht="15" hidden="false" customHeight="false" outlineLevel="0" collapsed="false">
      <c r="A60" s="10" t="s">
        <v>1024</v>
      </c>
      <c r="B60" s="16" t="n">
        <f aca="false">B59/B42</f>
        <v>0.166478695238324</v>
      </c>
      <c r="C60" s="16" t="n">
        <f aca="false">C59/C42</f>
        <v>0.172225949922691</v>
      </c>
      <c r="D60" s="16" t="n">
        <f aca="false">D59/D42</f>
        <v>0.177912556686725</v>
      </c>
      <c r="E60" s="10" t="s">
        <v>977</v>
      </c>
      <c r="G60" s="10" t="s">
        <v>1025</v>
      </c>
    </row>
    <row r="61" customFormat="false" ht="15" hidden="false" customHeight="false" outlineLevel="0" collapsed="false">
      <c r="A61" s="10" t="s">
        <v>1026</v>
      </c>
      <c r="C61" s="15" t="n">
        <v>322660</v>
      </c>
      <c r="E61" s="10" t="s">
        <v>973</v>
      </c>
      <c r="F61" s="7" t="s">
        <v>1027</v>
      </c>
      <c r="G61" s="10" t="s">
        <v>975</v>
      </c>
    </row>
    <row r="62" customFormat="false" ht="15" hidden="false" customHeight="false" outlineLevel="0" collapsed="false">
      <c r="A62" s="10" t="s">
        <v>1028</v>
      </c>
      <c r="C62" s="15" t="n">
        <v>173625</v>
      </c>
      <c r="E62" s="10" t="s">
        <v>973</v>
      </c>
      <c r="F62" s="7" t="s">
        <v>1029</v>
      </c>
      <c r="G62" s="10" t="s">
        <v>975</v>
      </c>
    </row>
    <row r="63" customFormat="false" ht="15" hidden="false" customHeight="false" outlineLevel="0" collapsed="false">
      <c r="A63" s="10" t="s">
        <v>1030</v>
      </c>
      <c r="C63" s="22" t="n">
        <f aca="false">C61-C62</f>
        <v>149035</v>
      </c>
      <c r="E63" s="10" t="s">
        <v>973</v>
      </c>
      <c r="G63" s="10" t="s">
        <v>994</v>
      </c>
    </row>
    <row r="64" customFormat="false" ht="15" hidden="false" customHeight="false" outlineLevel="0" collapsed="false">
      <c r="A64" s="10" t="s">
        <v>1031</v>
      </c>
      <c r="C64" s="16" t="n">
        <f aca="false">C63/C43</f>
        <v>0.229026344138072</v>
      </c>
      <c r="E64" s="10" t="s">
        <v>977</v>
      </c>
      <c r="G64" s="10" t="s">
        <v>1032</v>
      </c>
    </row>
    <row r="66" customFormat="false" ht="15" hidden="false" customHeight="false" outlineLevel="0" collapsed="false">
      <c r="A66" s="2" t="s">
        <v>1033</v>
      </c>
    </row>
    <row r="67" customFormat="false" ht="15" hidden="false" customHeight="false" outlineLevel="0" collapsed="false">
      <c r="A67" s="10" t="s">
        <v>1034</v>
      </c>
      <c r="B67" s="13" t="n">
        <v>1466</v>
      </c>
      <c r="C67" s="14" t="n">
        <f aca="false">(B67+D67)/2</f>
        <v>1470</v>
      </c>
      <c r="D67" s="13" t="n">
        <v>1474</v>
      </c>
      <c r="E67" s="10" t="s">
        <v>969</v>
      </c>
      <c r="F67" s="7" t="s">
        <v>1035</v>
      </c>
      <c r="G67" s="10" t="s">
        <v>971</v>
      </c>
    </row>
    <row r="68" customFormat="false" ht="15" hidden="false" customHeight="false" outlineLevel="0" collapsed="false">
      <c r="A68" s="10" t="s">
        <v>1036</v>
      </c>
      <c r="C68" s="15" t="n">
        <v>351265</v>
      </c>
      <c r="E68" s="10" t="s">
        <v>973</v>
      </c>
      <c r="F68" s="7" t="s">
        <v>1037</v>
      </c>
      <c r="G68" s="10" t="s">
        <v>975</v>
      </c>
    </row>
    <row r="69" customFormat="false" ht="15" hidden="false" customHeight="false" outlineLevel="0" collapsed="false">
      <c r="A69" s="10" t="s">
        <v>1038</v>
      </c>
      <c r="B69" s="13" t="n">
        <v>354</v>
      </c>
      <c r="C69" s="14" t="n">
        <f aca="false">(B69+D69)/2</f>
        <v>355</v>
      </c>
      <c r="D69" s="13" t="n">
        <v>356</v>
      </c>
      <c r="E69" s="10" t="s">
        <v>969</v>
      </c>
      <c r="F69" s="7" t="s">
        <v>1039</v>
      </c>
      <c r="G69" s="10" t="s">
        <v>971</v>
      </c>
    </row>
    <row r="70" customFormat="false" ht="15" hidden="false" customHeight="false" outlineLevel="0" collapsed="false">
      <c r="A70" s="10" t="s">
        <v>1040</v>
      </c>
      <c r="B70" s="22" t="n">
        <f aca="false">B67*1000-C68-B69*1000</f>
        <v>760735</v>
      </c>
      <c r="C70" s="22" t="n">
        <f aca="false">C67*1000-C68-C69*1000</f>
        <v>763735</v>
      </c>
      <c r="D70" s="22" t="n">
        <f aca="false">D67*1000-C68-D69*1000</f>
        <v>766735</v>
      </c>
      <c r="E70" s="10" t="s">
        <v>973</v>
      </c>
      <c r="G70" s="10" t="s">
        <v>1041</v>
      </c>
    </row>
    <row r="71" customFormat="false" ht="15" hidden="false" customHeight="false" outlineLevel="0" collapsed="false">
      <c r="A71" s="10" t="s">
        <v>1042</v>
      </c>
      <c r="B71" s="22" t="n">
        <f aca="false">B42-B70</f>
        <v>-10621</v>
      </c>
      <c r="C71" s="22" t="n">
        <f aca="false">C42-C70</f>
        <v>-9621</v>
      </c>
      <c r="D71" s="22" t="n">
        <f aca="false">D42-D70</f>
        <v>-8621</v>
      </c>
      <c r="E71" s="10" t="s">
        <v>973</v>
      </c>
      <c r="G71" s="10" t="s">
        <v>1043</v>
      </c>
    </row>
    <row r="72" customFormat="false" ht="15" hidden="false" customHeight="false" outlineLevel="0" collapsed="false">
      <c r="A72" s="10" t="s">
        <v>1044</v>
      </c>
      <c r="B72" s="13" t="n">
        <v>185</v>
      </c>
      <c r="C72" s="14" t="n">
        <f aca="false">(B72+D72)/2</f>
        <v>188</v>
      </c>
      <c r="D72" s="13" t="n">
        <v>191</v>
      </c>
      <c r="E72" s="10" t="s">
        <v>969</v>
      </c>
      <c r="F72" s="7" t="s">
        <v>1045</v>
      </c>
      <c r="G72" s="10" t="s">
        <v>971</v>
      </c>
    </row>
    <row r="73" customFormat="false" ht="15" hidden="false" customHeight="false" outlineLevel="0" collapsed="false">
      <c r="A73" s="10" t="s">
        <v>1046</v>
      </c>
      <c r="C73" s="15" t="n">
        <v>49037</v>
      </c>
      <c r="E73" s="10" t="s">
        <v>973</v>
      </c>
      <c r="F73" s="7" t="s">
        <v>1047</v>
      </c>
      <c r="G73" s="10" t="s">
        <v>975</v>
      </c>
    </row>
    <row r="74" customFormat="false" ht="15" hidden="false" customHeight="false" outlineLevel="0" collapsed="false">
      <c r="A74" s="10" t="s">
        <v>1048</v>
      </c>
      <c r="B74" s="13" t="n">
        <v>46</v>
      </c>
      <c r="C74" s="14" t="n">
        <f aca="false">(B74+D74)/2</f>
        <v>47</v>
      </c>
      <c r="D74" s="13" t="n">
        <v>48</v>
      </c>
      <c r="E74" s="10" t="s">
        <v>969</v>
      </c>
      <c r="F74" s="7" t="s">
        <v>1049</v>
      </c>
      <c r="G74" s="10" t="s">
        <v>971</v>
      </c>
    </row>
    <row r="75" customFormat="false" ht="15" hidden="false" customHeight="false" outlineLevel="0" collapsed="false">
      <c r="A75" s="10" t="s">
        <v>1050</v>
      </c>
      <c r="B75" s="22" t="n">
        <f aca="false">B72*1000-C73-B74*1000</f>
        <v>89963</v>
      </c>
      <c r="C75" s="22" t="n">
        <f aca="false">C72*1000-C73-C74*1000</f>
        <v>91963</v>
      </c>
      <c r="D75" s="22" t="n">
        <f aca="false">D72*1000-C73-D74*1000</f>
        <v>93963</v>
      </c>
      <c r="E75" s="10" t="s">
        <v>973</v>
      </c>
      <c r="G75" s="10" t="s">
        <v>1041</v>
      </c>
    </row>
    <row r="76" customFormat="false" ht="15" hidden="false" customHeight="false" outlineLevel="0" collapsed="false">
      <c r="A76" s="10" t="s">
        <v>1051</v>
      </c>
      <c r="B76" s="22" t="n">
        <f aca="false">B52-B75</f>
        <v>29890</v>
      </c>
      <c r="C76" s="22" t="n">
        <f aca="false">C52-C75</f>
        <v>29890</v>
      </c>
      <c r="D76" s="22" t="n">
        <f aca="false">D52-D75</f>
        <v>29890</v>
      </c>
      <c r="E76" s="10" t="s">
        <v>973</v>
      </c>
      <c r="G76" s="10" t="s">
        <v>1043</v>
      </c>
    </row>
    <row r="78" customFormat="false" ht="15" hidden="false" customHeight="false" outlineLevel="0" collapsed="false">
      <c r="A78" s="2" t="s">
        <v>1052</v>
      </c>
    </row>
    <row r="79" customFormat="false" ht="15" hidden="false" customHeight="false" outlineLevel="0" collapsed="false">
      <c r="A79" s="10" t="s">
        <v>1053</v>
      </c>
      <c r="B79" s="18" t="n">
        <v>0.15</v>
      </c>
      <c r="C79" s="16" t="n">
        <f aca="false">(B79+D79)/2</f>
        <v>0.15</v>
      </c>
      <c r="D79" s="18" t="n">
        <v>0.15</v>
      </c>
      <c r="E79" s="10" t="s">
        <v>977</v>
      </c>
      <c r="F79" s="7" t="s">
        <v>1054</v>
      </c>
      <c r="G79" s="10" t="s">
        <v>971</v>
      </c>
    </row>
    <row r="80" customFormat="false" ht="15" hidden="false" customHeight="false" outlineLevel="0" collapsed="false">
      <c r="A80" s="10" t="s">
        <v>1055</v>
      </c>
      <c r="B80" s="16" t="n">
        <f aca="false">B50/B36</f>
        <v>0.156889495225102</v>
      </c>
      <c r="C80" s="16" t="n">
        <f aca="false">C50/C36</f>
        <v>0.157823129251701</v>
      </c>
      <c r="D80" s="16" t="n">
        <f aca="false">D50/D36</f>
        <v>0.158751696065129</v>
      </c>
      <c r="E80" s="10" t="s">
        <v>977</v>
      </c>
      <c r="G80" s="10" t="s">
        <v>1056</v>
      </c>
    </row>
    <row r="82" customFormat="false" ht="15" hidden="false" customHeight="false" outlineLevel="0" collapsed="false">
      <c r="A82" s="7" t="s">
        <v>1057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0"/>
    <col collapsed="false" customWidth="true" hidden="false" outlineLevel="0" max="3" min="3" style="0" width="60"/>
  </cols>
  <sheetData>
    <row r="1" customFormat="false" ht="16.15" hidden="false" customHeight="false" outlineLevel="0" collapsed="false">
      <c r="A1" s="6" t="s">
        <v>1058</v>
      </c>
    </row>
    <row r="2" customFormat="false" ht="15" hidden="false" customHeight="false" outlineLevel="0" collapsed="false">
      <c r="A2" s="7" t="s">
        <v>1059</v>
      </c>
    </row>
    <row r="4" customFormat="false" ht="15" hidden="false" customHeight="false" outlineLevel="0" collapsed="false">
      <c r="A4" s="8" t="s">
        <v>1060</v>
      </c>
      <c r="B4" s="8" t="s">
        <v>1061</v>
      </c>
      <c r="C4" s="8" t="s">
        <v>1062</v>
      </c>
    </row>
    <row r="5" customFormat="false" ht="22.35" hidden="false" customHeight="false" outlineLevel="0" collapsed="false">
      <c r="A5" s="9" t="s">
        <v>48</v>
      </c>
      <c r="B5" s="9" t="s">
        <v>48</v>
      </c>
      <c r="C5" s="9" t="s">
        <v>48</v>
      </c>
    </row>
    <row r="6" customFormat="false" ht="35.05" hidden="false" customHeight="false" outlineLevel="0" collapsed="false">
      <c r="A6" s="10" t="n">
        <v>1</v>
      </c>
      <c r="B6" s="3" t="s">
        <v>1063</v>
      </c>
      <c r="C6" s="3" t="s">
        <v>1064</v>
      </c>
    </row>
    <row r="7" customFormat="false" ht="35.05" hidden="false" customHeight="false" outlineLevel="0" collapsed="false">
      <c r="A7" s="10" t="n">
        <v>2</v>
      </c>
      <c r="B7" s="3" t="s">
        <v>1065</v>
      </c>
      <c r="C7" s="3" t="s">
        <v>1066</v>
      </c>
    </row>
    <row r="8" customFormat="false" ht="35.05" hidden="false" customHeight="false" outlineLevel="0" collapsed="false">
      <c r="A8" s="10" t="n">
        <v>3</v>
      </c>
      <c r="B8" s="3" t="s">
        <v>1067</v>
      </c>
      <c r="C8" s="3" t="s">
        <v>1068</v>
      </c>
    </row>
    <row r="9" customFormat="false" ht="23.85" hidden="false" customHeight="false" outlineLevel="0" collapsed="false">
      <c r="A9" s="10" t="n">
        <v>4</v>
      </c>
      <c r="B9" s="3" t="s">
        <v>1069</v>
      </c>
      <c r="C9" s="3" t="s">
        <v>1070</v>
      </c>
    </row>
    <row r="10" customFormat="false" ht="46.25" hidden="false" customHeight="false" outlineLevel="0" collapsed="false">
      <c r="A10" s="10" t="n">
        <v>5</v>
      </c>
      <c r="B10" s="3" t="s">
        <v>1071</v>
      </c>
      <c r="C10" s="3" t="s">
        <v>1072</v>
      </c>
    </row>
    <row r="11" customFormat="false" ht="46.25" hidden="false" customHeight="false" outlineLevel="0" collapsed="false">
      <c r="A11" s="10" t="n">
        <v>6</v>
      </c>
      <c r="B11" s="3" t="s">
        <v>1073</v>
      </c>
      <c r="C11" s="3" t="s">
        <v>1074</v>
      </c>
    </row>
    <row r="12" customFormat="false" ht="23.85" hidden="false" customHeight="false" outlineLevel="0" collapsed="false">
      <c r="A12" s="10" t="n">
        <v>7</v>
      </c>
      <c r="B12" s="3" t="s">
        <v>1075</v>
      </c>
      <c r="C12" s="3" t="s">
        <v>1076</v>
      </c>
    </row>
    <row r="13" customFormat="false" ht="46.25" hidden="false" customHeight="false" outlineLevel="0" collapsed="false">
      <c r="A13" s="10" t="n">
        <v>8</v>
      </c>
      <c r="B13" s="3" t="s">
        <v>1077</v>
      </c>
      <c r="C13" s="3" t="s">
        <v>1078</v>
      </c>
    </row>
    <row r="14" customFormat="false" ht="35.05" hidden="false" customHeight="false" outlineLevel="0" collapsed="false">
      <c r="A14" s="10" t="n">
        <v>9</v>
      </c>
      <c r="B14" s="3" t="s">
        <v>1079</v>
      </c>
      <c r="C14" s="3" t="s">
        <v>1080</v>
      </c>
    </row>
    <row r="15" customFormat="false" ht="35.05" hidden="false" customHeight="false" outlineLevel="0" collapsed="false">
      <c r="A15" s="10" t="n">
        <v>10</v>
      </c>
      <c r="B15" s="3" t="s">
        <v>1081</v>
      </c>
      <c r="C15" s="3" t="s">
        <v>1082</v>
      </c>
    </row>
    <row r="18" customFormat="false" ht="15" hidden="false" customHeight="false" outlineLevel="0" collapsed="false">
      <c r="A18" s="4" t="s">
        <v>1083</v>
      </c>
    </row>
    <row r="19" customFormat="false" ht="23.85" hidden="false" customHeight="false" outlineLevel="0" collapsed="false">
      <c r="A19" s="10" t="n">
        <v>1</v>
      </c>
      <c r="B19" s="3" t="s">
        <v>1084</v>
      </c>
    </row>
    <row r="20" customFormat="false" ht="23.85" hidden="false" customHeight="false" outlineLevel="0" collapsed="false">
      <c r="A20" s="10" t="n">
        <v>2</v>
      </c>
      <c r="B20" s="3" t="s">
        <v>1085</v>
      </c>
    </row>
    <row r="21" customFormat="false" ht="23.85" hidden="false" customHeight="false" outlineLevel="0" collapsed="false">
      <c r="A21" s="10" t="n">
        <v>3</v>
      </c>
      <c r="B21" s="3" t="s">
        <v>1086</v>
      </c>
    </row>
    <row r="22" customFormat="false" ht="23.85" hidden="false" customHeight="false" outlineLevel="0" collapsed="false">
      <c r="A22" s="10" t="n">
        <v>4</v>
      </c>
      <c r="B22" s="3" t="s">
        <v>1087</v>
      </c>
    </row>
    <row r="23" customFormat="false" ht="23.85" hidden="false" customHeight="false" outlineLevel="0" collapsed="false">
      <c r="A23" s="10" t="n">
        <v>5</v>
      </c>
      <c r="B23" s="3" t="s">
        <v>1088</v>
      </c>
    </row>
    <row r="24" customFormat="false" ht="23.85" hidden="false" customHeight="false" outlineLevel="0" collapsed="false">
      <c r="A24" s="10" t="n">
        <v>6</v>
      </c>
      <c r="B24" s="3" t="s">
        <v>1089</v>
      </c>
    </row>
    <row r="25" customFormat="false" ht="23.85" hidden="false" customHeight="false" outlineLevel="0" collapsed="false">
      <c r="A25" s="10" t="n">
        <v>7</v>
      </c>
      <c r="B25" s="3" t="s">
        <v>1090</v>
      </c>
    </row>
    <row r="26" customFormat="false" ht="23.85" hidden="false" customHeight="false" outlineLevel="0" collapsed="false">
      <c r="A26" s="10" t="n">
        <v>8</v>
      </c>
      <c r="B26" s="3" t="s">
        <v>1091</v>
      </c>
    </row>
    <row r="27" customFormat="false" ht="23.85" hidden="false" customHeight="false" outlineLevel="0" collapsed="false">
      <c r="A27" s="10" t="n">
        <v>9</v>
      </c>
      <c r="B27" s="3" t="s">
        <v>1092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9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8"/>
    <col collapsed="false" customWidth="true" hidden="false" outlineLevel="0" max="4" min="4" style="0" width="11"/>
    <col collapsed="false" customWidth="true" hidden="false" outlineLevel="0" max="5" min="5" style="0" width="14"/>
    <col collapsed="false" customWidth="true" hidden="false" outlineLevel="0" max="7" min="6" style="0" width="16"/>
    <col collapsed="false" customWidth="true" hidden="false" outlineLevel="0" max="8" min="8" style="0" width="12"/>
    <col collapsed="false" customWidth="true" hidden="false" outlineLevel="0" max="9" min="9" style="0" width="9"/>
    <col collapsed="false" customWidth="true" hidden="false" outlineLevel="0" max="10" min="10" style="0" width="50"/>
  </cols>
  <sheetData>
    <row r="1" customFormat="false" ht="16.15" hidden="false" customHeight="false" outlineLevel="0" collapsed="false">
      <c r="A1" s="6" t="s">
        <v>1093</v>
      </c>
    </row>
    <row r="2" customFormat="false" ht="15" hidden="false" customHeight="false" outlineLevel="0" collapsed="false">
      <c r="A2" s="7" t="s">
        <v>1094</v>
      </c>
    </row>
    <row r="4" customFormat="false" ht="15" hidden="false" customHeight="false" outlineLevel="0" collapsed="false">
      <c r="A4" s="4" t="s">
        <v>1095</v>
      </c>
    </row>
    <row r="5" customFormat="false" ht="15" hidden="false" customHeight="false" outlineLevel="0" collapsed="false">
      <c r="B5" s="8" t="s">
        <v>1096</v>
      </c>
      <c r="C5" s="8" t="s">
        <v>17</v>
      </c>
      <c r="D5" s="8" t="s">
        <v>1097</v>
      </c>
      <c r="E5" s="8" t="s">
        <v>1098</v>
      </c>
    </row>
    <row r="6" customFormat="false" ht="22.35" hidden="false" customHeight="false" outlineLevel="0" collapsed="false">
      <c r="B6" s="9" t="s">
        <v>48</v>
      </c>
      <c r="C6" s="9" t="s">
        <v>52</v>
      </c>
      <c r="D6" s="9" t="s">
        <v>52</v>
      </c>
      <c r="E6" s="9" t="s">
        <v>52</v>
      </c>
    </row>
    <row r="7" customFormat="false" ht="15" hidden="false" customHeight="false" outlineLevel="0" collapsed="false">
      <c r="B7" s="10" t="s">
        <v>1099</v>
      </c>
      <c r="C7" s="10" t="n">
        <f aca="false">COUNTIF($B$26:$B$1394,B7)</f>
        <v>478</v>
      </c>
      <c r="D7" s="10" t="n">
        <f aca="false">COUNTIFS($B$26:$B$1394,B7,$I$26:$I$1394,"PASS")</f>
        <v>478</v>
      </c>
      <c r="E7" s="10" t="n">
        <f aca="false">COUNTIFS($B$26:$B$1394,B7,$I$26:$I$1394,"FAIL")</f>
        <v>0</v>
      </c>
    </row>
    <row r="8" customFormat="false" ht="15" hidden="false" customHeight="false" outlineLevel="0" collapsed="false">
      <c r="B8" s="10" t="s">
        <v>1100</v>
      </c>
      <c r="C8" s="10" t="n">
        <f aca="false">COUNTIF($B$26:$B$1394,B8)</f>
        <v>88</v>
      </c>
      <c r="D8" s="10" t="n">
        <f aca="false">COUNTIFS($B$26:$B$1394,B8,$I$26:$I$1394,"PASS")</f>
        <v>88</v>
      </c>
      <c r="E8" s="10" t="n">
        <f aca="false">COUNTIFS($B$26:$B$1394,B8,$I$26:$I$1394,"FAIL")</f>
        <v>0</v>
      </c>
    </row>
    <row r="9" customFormat="false" ht="15" hidden="false" customHeight="false" outlineLevel="0" collapsed="false">
      <c r="B9" s="10" t="s">
        <v>1101</v>
      </c>
      <c r="C9" s="10" t="n">
        <f aca="false">COUNTIF($B$26:$B$1394,B9)</f>
        <v>30</v>
      </c>
      <c r="D9" s="10" t="n">
        <f aca="false">COUNTIFS($B$26:$B$1394,B9,$I$26:$I$1394,"PASS")</f>
        <v>30</v>
      </c>
      <c r="E9" s="10" t="n">
        <f aca="false">COUNTIFS($B$26:$B$1394,B9,$I$26:$I$1394,"FAIL")</f>
        <v>0</v>
      </c>
    </row>
    <row r="10" customFormat="false" ht="15" hidden="false" customHeight="false" outlineLevel="0" collapsed="false">
      <c r="B10" s="10" t="s">
        <v>1102</v>
      </c>
      <c r="C10" s="10" t="n">
        <f aca="false">COUNTIF($B$26:$B$1394,B10)</f>
        <v>22</v>
      </c>
      <c r="D10" s="10" t="n">
        <f aca="false">COUNTIFS($B$26:$B$1394,B10,$I$26:$I$1394,"PASS")</f>
        <v>22</v>
      </c>
      <c r="E10" s="10" t="n">
        <f aca="false">COUNTIFS($B$26:$B$1394,B10,$I$26:$I$1394,"FAIL")</f>
        <v>0</v>
      </c>
    </row>
    <row r="11" customFormat="false" ht="15" hidden="false" customHeight="false" outlineLevel="0" collapsed="false">
      <c r="B11" s="10" t="s">
        <v>1103</v>
      </c>
      <c r="C11" s="10" t="n">
        <f aca="false">COUNTIF($B$26:$B$1394,B11)</f>
        <v>164</v>
      </c>
      <c r="D11" s="10" t="n">
        <f aca="false">COUNTIFS($B$26:$B$1394,B11,$I$26:$I$1394,"PASS")</f>
        <v>164</v>
      </c>
      <c r="E11" s="10" t="n">
        <f aca="false">COUNTIFS($B$26:$B$1394,B11,$I$26:$I$1394,"FAIL")</f>
        <v>0</v>
      </c>
    </row>
    <row r="12" customFormat="false" ht="15" hidden="false" customHeight="false" outlineLevel="0" collapsed="false">
      <c r="B12" s="10" t="s">
        <v>1104</v>
      </c>
      <c r="C12" s="10" t="n">
        <f aca="false">COUNTIF($B$26:$B$1394,B12)</f>
        <v>297</v>
      </c>
      <c r="D12" s="10" t="n">
        <f aca="false">COUNTIFS($B$26:$B$1394,B12,$I$26:$I$1394,"PASS")</f>
        <v>297</v>
      </c>
      <c r="E12" s="10" t="n">
        <f aca="false">COUNTIFS($B$26:$B$1394,B12,$I$26:$I$1394,"FAIL")</f>
        <v>0</v>
      </c>
    </row>
    <row r="13" customFormat="false" ht="15" hidden="false" customHeight="false" outlineLevel="0" collapsed="false">
      <c r="B13" s="10" t="s">
        <v>1105</v>
      </c>
      <c r="C13" s="10" t="n">
        <f aca="false">COUNTIF($B$26:$B$1394,B13)</f>
        <v>7</v>
      </c>
      <c r="D13" s="10" t="n">
        <f aca="false">COUNTIFS($B$26:$B$1394,B13,$I$26:$I$1394,"PASS")</f>
        <v>7</v>
      </c>
      <c r="E13" s="10" t="n">
        <f aca="false">COUNTIFS($B$26:$B$1394,B13,$I$26:$I$1394,"FAIL")</f>
        <v>0</v>
      </c>
    </row>
    <row r="14" customFormat="false" ht="15" hidden="false" customHeight="false" outlineLevel="0" collapsed="false">
      <c r="B14" s="10" t="s">
        <v>1106</v>
      </c>
      <c r="C14" s="10" t="n">
        <f aca="false">COUNTIF($B$26:$B$1394,B14)</f>
        <v>108</v>
      </c>
      <c r="D14" s="10" t="n">
        <f aca="false">COUNTIFS($B$26:$B$1394,B14,$I$26:$I$1394,"PASS")</f>
        <v>108</v>
      </c>
      <c r="E14" s="10" t="n">
        <f aca="false">COUNTIFS($B$26:$B$1394,B14,$I$26:$I$1394,"FAIL")</f>
        <v>0</v>
      </c>
    </row>
    <row r="15" customFormat="false" ht="15" hidden="false" customHeight="false" outlineLevel="0" collapsed="false">
      <c r="B15" s="10" t="s">
        <v>1107</v>
      </c>
      <c r="C15" s="10" t="n">
        <f aca="false">COUNTIF($B$26:$B$1394,B15)</f>
        <v>17</v>
      </c>
      <c r="D15" s="10" t="n">
        <f aca="false">COUNTIFS($B$26:$B$1394,B15,$I$26:$I$1394,"PASS")</f>
        <v>17</v>
      </c>
      <c r="E15" s="10" t="n">
        <f aca="false">COUNTIFS($B$26:$B$1394,B15,$I$26:$I$1394,"FAIL")</f>
        <v>0</v>
      </c>
    </row>
    <row r="16" customFormat="false" ht="15" hidden="false" customHeight="false" outlineLevel="0" collapsed="false">
      <c r="B16" s="10" t="s">
        <v>1108</v>
      </c>
      <c r="C16" s="10" t="n">
        <f aca="false">COUNTIF($B$26:$B$1394,B16)</f>
        <v>53</v>
      </c>
      <c r="D16" s="10" t="n">
        <f aca="false">COUNTIFS($B$26:$B$1394,B16,$I$26:$I$1394,"PASS")</f>
        <v>53</v>
      </c>
      <c r="E16" s="10" t="n">
        <f aca="false">COUNTIFS($B$26:$B$1394,B16,$I$26:$I$1394,"FAIL")</f>
        <v>0</v>
      </c>
    </row>
    <row r="17" customFormat="false" ht="15" hidden="false" customHeight="false" outlineLevel="0" collapsed="false">
      <c r="B17" s="10" t="s">
        <v>1109</v>
      </c>
      <c r="C17" s="10" t="n">
        <f aca="false">COUNTIF($B$26:$B$1394,B17)</f>
        <v>11</v>
      </c>
      <c r="D17" s="10" t="n">
        <f aca="false">COUNTIFS($B$26:$B$1394,B17,$I$26:$I$1394,"PASS")</f>
        <v>11</v>
      </c>
      <c r="E17" s="10" t="n">
        <f aca="false">COUNTIFS($B$26:$B$1394,B17,$I$26:$I$1394,"FAIL")</f>
        <v>0</v>
      </c>
    </row>
    <row r="18" customFormat="false" ht="15" hidden="false" customHeight="false" outlineLevel="0" collapsed="false">
      <c r="B18" s="10" t="s">
        <v>1110</v>
      </c>
      <c r="C18" s="10" t="n">
        <f aca="false">COUNTIF($B$26:$B$1394,B18)</f>
        <v>88</v>
      </c>
      <c r="D18" s="10" t="n">
        <f aca="false">COUNTIFS($B$26:$B$1394,B18,$I$26:$I$1394,"PASS")</f>
        <v>88</v>
      </c>
      <c r="E18" s="10" t="n">
        <f aca="false">COUNTIFS($B$26:$B$1394,B18,$I$26:$I$1394,"FAIL")</f>
        <v>0</v>
      </c>
    </row>
    <row r="19" customFormat="false" ht="15" hidden="false" customHeight="false" outlineLevel="0" collapsed="false">
      <c r="B19" s="10" t="s">
        <v>1111</v>
      </c>
      <c r="C19" s="10" t="n">
        <f aca="false">COUNTIF($B$26:$B$1394,B19)</f>
        <v>4</v>
      </c>
      <c r="D19" s="10" t="n">
        <f aca="false">COUNTIFS($B$26:$B$1394,B19,$I$26:$I$1394,"PASS")</f>
        <v>4</v>
      </c>
      <c r="E19" s="10" t="n">
        <f aca="false">COUNTIFS($B$26:$B$1394,B19,$I$26:$I$1394,"FAIL")</f>
        <v>0</v>
      </c>
    </row>
    <row r="20" customFormat="false" ht="15" hidden="false" customHeight="false" outlineLevel="0" collapsed="false">
      <c r="B20" s="10" t="s">
        <v>1112</v>
      </c>
      <c r="C20" s="10" t="n">
        <f aca="false">COUNTIF($B$26:$B$1394,B20)</f>
        <v>2</v>
      </c>
      <c r="D20" s="10" t="n">
        <f aca="false">COUNTIFS($B$26:$B$1394,B20,$I$26:$I$1394,"PASS")</f>
        <v>2</v>
      </c>
      <c r="E20" s="10" t="n">
        <f aca="false">COUNTIFS($B$26:$B$1394,B20,$I$26:$I$1394,"FAIL")</f>
        <v>0</v>
      </c>
    </row>
    <row r="21" customFormat="false" ht="15" hidden="false" customHeight="false" outlineLevel="0" collapsed="false">
      <c r="B21" s="2" t="s">
        <v>1113</v>
      </c>
      <c r="C21" s="10" t="n">
        <f aca="false">SUM(C7:C20)</f>
        <v>1369</v>
      </c>
      <c r="D21" s="10" t="n">
        <f aca="false">SUM(D7:D20)</f>
        <v>1369</v>
      </c>
      <c r="E21" s="10" t="n">
        <f aca="false">SUM(E7:E20)</f>
        <v>0</v>
      </c>
    </row>
    <row r="24" customFormat="false" ht="23.85" hidden="false" customHeight="false" outlineLevel="0" collapsed="false">
      <c r="A24" s="8" t="s">
        <v>1114</v>
      </c>
      <c r="B24" s="8" t="s">
        <v>1096</v>
      </c>
      <c r="C24" s="8" t="s">
        <v>1115</v>
      </c>
      <c r="D24" s="8" t="s">
        <v>1116</v>
      </c>
      <c r="E24" s="8" t="s">
        <v>49</v>
      </c>
      <c r="F24" s="8" t="s">
        <v>1117</v>
      </c>
      <c r="G24" s="8" t="s">
        <v>1118</v>
      </c>
      <c r="H24" s="8" t="s">
        <v>1119</v>
      </c>
      <c r="I24" s="8" t="s">
        <v>1120</v>
      </c>
      <c r="J24" s="8" t="s">
        <v>1121</v>
      </c>
    </row>
    <row r="25" customFormat="false" ht="22.35" hidden="false" customHeight="false" outlineLevel="0" collapsed="false">
      <c r="A25" s="9" t="s">
        <v>48</v>
      </c>
      <c r="B25" s="9" t="s">
        <v>48</v>
      </c>
      <c r="C25" s="9" t="s">
        <v>48</v>
      </c>
      <c r="D25" s="9" t="s">
        <v>48</v>
      </c>
      <c r="E25" s="9" t="s">
        <v>49</v>
      </c>
      <c r="F25" s="9" t="s">
        <v>52</v>
      </c>
      <c r="G25" s="9" t="s">
        <v>51</v>
      </c>
      <c r="H25" s="9" t="s">
        <v>52</v>
      </c>
      <c r="I25" s="9" t="s">
        <v>52</v>
      </c>
      <c r="J25" s="9" t="s">
        <v>48</v>
      </c>
    </row>
    <row r="26" customFormat="false" ht="15" hidden="false" customHeight="false" outlineLevel="0" collapsed="false">
      <c r="A26" s="10" t="s">
        <v>1122</v>
      </c>
      <c r="B26" s="10" t="s">
        <v>1099</v>
      </c>
      <c r="C26" s="10" t="s">
        <v>1123</v>
      </c>
      <c r="D26" s="10" t="s">
        <v>1124</v>
      </c>
      <c r="E26" s="10" t="s">
        <v>55</v>
      </c>
      <c r="F26" s="24" t="n">
        <f aca="false">Guidance_Accuracy!D7</f>
        <v>44425</v>
      </c>
      <c r="G26" s="11" t="n">
        <v>44425</v>
      </c>
      <c r="H26" s="10" t="n">
        <f aca="false">F26-G26</f>
        <v>0</v>
      </c>
      <c r="I26" s="10" t="str">
        <f aca="false">IF(ABS(H26)&lt;=0.000001,"PASS","FAIL")</f>
        <v>PASS</v>
      </c>
      <c r="J26" s="10" t="s">
        <v>1125</v>
      </c>
    </row>
    <row r="27" customFormat="false" ht="15" hidden="false" customHeight="false" outlineLevel="0" collapsed="false">
      <c r="A27" s="10" t="s">
        <v>1126</v>
      </c>
      <c r="B27" s="10" t="s">
        <v>1099</v>
      </c>
      <c r="C27" s="10" t="s">
        <v>1127</v>
      </c>
      <c r="D27" s="10" t="s">
        <v>1124</v>
      </c>
      <c r="E27" s="10" t="s">
        <v>55</v>
      </c>
      <c r="F27" s="10" t="str">
        <f aca="false">Guidance_Accuracy!E7</f>
        <v>Revenue</v>
      </c>
      <c r="G27" s="12" t="s">
        <v>24</v>
      </c>
      <c r="H27" s="10" t="n">
        <f aca="false">IF(EXACT(F27,G27),0,1)</f>
        <v>0</v>
      </c>
      <c r="I27" s="10" t="str">
        <f aca="false">IF(ABS(H27)&lt;=0.000001,"PASS","FAIL")</f>
        <v>PASS</v>
      </c>
      <c r="J27" s="10" t="s">
        <v>29</v>
      </c>
    </row>
    <row r="28" customFormat="false" ht="15" hidden="false" customHeight="false" outlineLevel="0" collapsed="false">
      <c r="A28" s="10" t="s">
        <v>1128</v>
      </c>
      <c r="B28" s="10" t="s">
        <v>1099</v>
      </c>
      <c r="C28" s="10" t="s">
        <v>1129</v>
      </c>
      <c r="D28" s="10" t="s">
        <v>1124</v>
      </c>
      <c r="E28" s="10" t="s">
        <v>55</v>
      </c>
      <c r="F28" s="14" t="n">
        <f aca="false">Guidance_Accuracy!F7</f>
        <v>74</v>
      </c>
      <c r="G28" s="12" t="n">
        <v>74</v>
      </c>
      <c r="H28" s="10" t="n">
        <f aca="false">F28-G28</f>
        <v>0</v>
      </c>
      <c r="I28" s="10" t="str">
        <f aca="false">IF(ABS(H28)&lt;=0.000001,"PASS","FAIL")</f>
        <v>PASS</v>
      </c>
      <c r="J28" s="10" t="s">
        <v>1130</v>
      </c>
    </row>
    <row r="29" customFormat="false" ht="15" hidden="false" customHeight="false" outlineLevel="0" collapsed="false">
      <c r="A29" s="10" t="s">
        <v>1131</v>
      </c>
      <c r="B29" s="10" t="s">
        <v>1099</v>
      </c>
      <c r="C29" s="10" t="s">
        <v>1132</v>
      </c>
      <c r="D29" s="10" t="s">
        <v>1124</v>
      </c>
      <c r="E29" s="10" t="s">
        <v>55</v>
      </c>
      <c r="F29" s="14" t="n">
        <f aca="false">Guidance_Accuracy!G7</f>
        <v>75</v>
      </c>
      <c r="G29" s="12" t="n">
        <v>75</v>
      </c>
      <c r="H29" s="10" t="n">
        <f aca="false">F29-G29</f>
        <v>0</v>
      </c>
      <c r="I29" s="10" t="str">
        <f aca="false">IF(ABS(H29)&lt;=0.000001,"PASS","FAIL")</f>
        <v>PASS</v>
      </c>
      <c r="J29" s="10" t="s">
        <v>1133</v>
      </c>
    </row>
    <row r="30" customFormat="false" ht="15" hidden="false" customHeight="false" outlineLevel="0" collapsed="false">
      <c r="A30" s="10" t="s">
        <v>1134</v>
      </c>
      <c r="B30" s="10" t="s">
        <v>1100</v>
      </c>
      <c r="C30" s="10" t="s">
        <v>1135</v>
      </c>
      <c r="D30" s="10" t="s">
        <v>1136</v>
      </c>
      <c r="E30" s="10" t="s">
        <v>57</v>
      </c>
      <c r="F30" s="22" t="n">
        <f aca="false">Guidance_Accuracy!I7</f>
        <v>83018</v>
      </c>
      <c r="G30" s="12" t="n">
        <v>83018</v>
      </c>
      <c r="H30" s="10" t="n">
        <f aca="false">F30-G30</f>
        <v>0</v>
      </c>
      <c r="I30" s="10" t="str">
        <f aca="false">IF(ABS(H30)&lt;=0.000001,"PASS","FAIL")</f>
        <v>PASS</v>
      </c>
      <c r="J30" s="10" t="s">
        <v>1137</v>
      </c>
    </row>
    <row r="31" customFormat="false" ht="15" hidden="false" customHeight="false" outlineLevel="0" collapsed="false">
      <c r="A31" s="10" t="s">
        <v>1138</v>
      </c>
      <c r="B31" s="10" t="s">
        <v>1099</v>
      </c>
      <c r="C31" s="10" t="s">
        <v>1139</v>
      </c>
      <c r="D31" s="10" t="s">
        <v>1124</v>
      </c>
      <c r="E31" s="10" t="s">
        <v>60</v>
      </c>
      <c r="F31" s="24" t="n">
        <f aca="false">Guidance_Accuracy!D8</f>
        <v>44510</v>
      </c>
      <c r="G31" s="11" t="n">
        <v>44510</v>
      </c>
      <c r="H31" s="10" t="n">
        <f aca="false">F31-G31</f>
        <v>0</v>
      </c>
      <c r="I31" s="10" t="str">
        <f aca="false">IF(ABS(H31)&lt;=0.000001,"PASS","FAIL")</f>
        <v>PASS</v>
      </c>
      <c r="J31" s="10" t="s">
        <v>1125</v>
      </c>
    </row>
    <row r="32" customFormat="false" ht="15" hidden="false" customHeight="false" outlineLevel="0" collapsed="false">
      <c r="A32" s="10" t="s">
        <v>1140</v>
      </c>
      <c r="B32" s="10" t="s">
        <v>1099</v>
      </c>
      <c r="C32" s="10" t="s">
        <v>1141</v>
      </c>
      <c r="D32" s="10" t="s">
        <v>1124</v>
      </c>
      <c r="E32" s="10" t="s">
        <v>60</v>
      </c>
      <c r="F32" s="10" t="str">
        <f aca="false">Guidance_Accuracy!E8</f>
        <v>Revenue</v>
      </c>
      <c r="G32" s="12" t="s">
        <v>24</v>
      </c>
      <c r="H32" s="10" t="n">
        <f aca="false">IF(EXACT(F32,G32),0,1)</f>
        <v>0</v>
      </c>
      <c r="I32" s="10" t="str">
        <f aca="false">IF(ABS(H32)&lt;=0.000001,"PASS","FAIL")</f>
        <v>PASS</v>
      </c>
      <c r="J32" s="10" t="s">
        <v>29</v>
      </c>
    </row>
    <row r="33" customFormat="false" ht="15" hidden="false" customHeight="false" outlineLevel="0" collapsed="false">
      <c r="A33" s="10" t="s">
        <v>1142</v>
      </c>
      <c r="B33" s="10" t="s">
        <v>1099</v>
      </c>
      <c r="C33" s="10" t="s">
        <v>1143</v>
      </c>
      <c r="D33" s="10" t="s">
        <v>1124</v>
      </c>
      <c r="E33" s="10" t="s">
        <v>60</v>
      </c>
      <c r="F33" s="14" t="n">
        <f aca="false">Guidance_Accuracy!F8</f>
        <v>87</v>
      </c>
      <c r="G33" s="12" t="n">
        <v>87</v>
      </c>
      <c r="H33" s="10" t="n">
        <f aca="false">F33-G33</f>
        <v>0</v>
      </c>
      <c r="I33" s="10" t="str">
        <f aca="false">IF(ABS(H33)&lt;=0.000001,"PASS","FAIL")</f>
        <v>PASS</v>
      </c>
      <c r="J33" s="10" t="s">
        <v>1130</v>
      </c>
    </row>
    <row r="34" customFormat="false" ht="15" hidden="false" customHeight="false" outlineLevel="0" collapsed="false">
      <c r="A34" s="10" t="s">
        <v>1144</v>
      </c>
      <c r="B34" s="10" t="s">
        <v>1099</v>
      </c>
      <c r="C34" s="10" t="s">
        <v>1145</v>
      </c>
      <c r="D34" s="10" t="s">
        <v>1124</v>
      </c>
      <c r="E34" s="10" t="s">
        <v>60</v>
      </c>
      <c r="F34" s="14" t="n">
        <f aca="false">Guidance_Accuracy!G8</f>
        <v>88</v>
      </c>
      <c r="G34" s="12" t="n">
        <v>88</v>
      </c>
      <c r="H34" s="10" t="n">
        <f aca="false">F34-G34</f>
        <v>0</v>
      </c>
      <c r="I34" s="10" t="str">
        <f aca="false">IF(ABS(H34)&lt;=0.000001,"PASS","FAIL")</f>
        <v>PASS</v>
      </c>
      <c r="J34" s="10" t="s">
        <v>1133</v>
      </c>
    </row>
    <row r="35" customFormat="false" ht="15" hidden="false" customHeight="false" outlineLevel="0" collapsed="false">
      <c r="A35" s="10" t="s">
        <v>1146</v>
      </c>
      <c r="B35" s="10" t="s">
        <v>1100</v>
      </c>
      <c r="C35" s="10" t="s">
        <v>1147</v>
      </c>
      <c r="D35" s="10" t="s">
        <v>1136</v>
      </c>
      <c r="E35" s="10" t="s">
        <v>61</v>
      </c>
      <c r="F35" s="22" t="n">
        <f aca="false">Guidance_Accuracy!I8</f>
        <v>95545</v>
      </c>
      <c r="G35" s="12" t="n">
        <v>95545</v>
      </c>
      <c r="H35" s="10" t="n">
        <f aca="false">F35-G35</f>
        <v>0</v>
      </c>
      <c r="I35" s="10" t="str">
        <f aca="false">IF(ABS(H35)&lt;=0.000001,"PASS","FAIL")</f>
        <v>PASS</v>
      </c>
      <c r="J35" s="10" t="s">
        <v>1148</v>
      </c>
    </row>
    <row r="36" customFormat="false" ht="15" hidden="false" customHeight="false" outlineLevel="0" collapsed="false">
      <c r="A36" s="10" t="s">
        <v>1149</v>
      </c>
      <c r="B36" s="10" t="s">
        <v>1099</v>
      </c>
      <c r="C36" s="10" t="s">
        <v>1150</v>
      </c>
      <c r="D36" s="10" t="s">
        <v>1124</v>
      </c>
      <c r="E36" s="10" t="s">
        <v>64</v>
      </c>
      <c r="F36" s="24" t="n">
        <f aca="false">Guidance_Accuracy!D9</f>
        <v>44615</v>
      </c>
      <c r="G36" s="11" t="n">
        <v>44615</v>
      </c>
      <c r="H36" s="10" t="n">
        <f aca="false">F36-G36</f>
        <v>0</v>
      </c>
      <c r="I36" s="10" t="str">
        <f aca="false">IF(ABS(H36)&lt;=0.000001,"PASS","FAIL")</f>
        <v>PASS</v>
      </c>
      <c r="J36" s="10" t="s">
        <v>1125</v>
      </c>
    </row>
    <row r="37" customFormat="false" ht="15" hidden="false" customHeight="false" outlineLevel="0" collapsed="false">
      <c r="A37" s="10" t="s">
        <v>1151</v>
      </c>
      <c r="B37" s="10" t="s">
        <v>1099</v>
      </c>
      <c r="C37" s="10" t="s">
        <v>1152</v>
      </c>
      <c r="D37" s="10" t="s">
        <v>1124</v>
      </c>
      <c r="E37" s="10" t="s">
        <v>64</v>
      </c>
      <c r="F37" s="10" t="str">
        <f aca="false">Guidance_Accuracy!E9</f>
        <v>Revenue</v>
      </c>
      <c r="G37" s="12" t="s">
        <v>24</v>
      </c>
      <c r="H37" s="10" t="n">
        <f aca="false">IF(EXACT(F37,G37),0,1)</f>
        <v>0</v>
      </c>
      <c r="I37" s="10" t="str">
        <f aca="false">IF(ABS(H37)&lt;=0.000001,"PASS","FAIL")</f>
        <v>PASS</v>
      </c>
      <c r="J37" s="10" t="s">
        <v>29</v>
      </c>
    </row>
    <row r="38" customFormat="false" ht="15" hidden="false" customHeight="false" outlineLevel="0" collapsed="false">
      <c r="A38" s="10" t="s">
        <v>1153</v>
      </c>
      <c r="B38" s="10" t="s">
        <v>1099</v>
      </c>
      <c r="C38" s="10" t="s">
        <v>1154</v>
      </c>
      <c r="D38" s="10" t="s">
        <v>1124</v>
      </c>
      <c r="E38" s="10" t="s">
        <v>64</v>
      </c>
      <c r="F38" s="14" t="n">
        <f aca="false">Guidance_Accuracy!F9</f>
        <v>100</v>
      </c>
      <c r="G38" s="12" t="n">
        <v>100</v>
      </c>
      <c r="H38" s="10" t="n">
        <f aca="false">F38-G38</f>
        <v>0</v>
      </c>
      <c r="I38" s="10" t="str">
        <f aca="false">IF(ABS(H38)&lt;=0.000001,"PASS","FAIL")</f>
        <v>PASS</v>
      </c>
      <c r="J38" s="10" t="s">
        <v>1130</v>
      </c>
    </row>
    <row r="39" customFormat="false" ht="15" hidden="false" customHeight="false" outlineLevel="0" collapsed="false">
      <c r="A39" s="10" t="s">
        <v>1155</v>
      </c>
      <c r="B39" s="10" t="s">
        <v>1099</v>
      </c>
      <c r="C39" s="10" t="s">
        <v>1156</v>
      </c>
      <c r="D39" s="10" t="s">
        <v>1124</v>
      </c>
      <c r="E39" s="10" t="s">
        <v>64</v>
      </c>
      <c r="F39" s="14" t="n">
        <f aca="false">Guidance_Accuracy!G9</f>
        <v>102</v>
      </c>
      <c r="G39" s="12" t="n">
        <v>102</v>
      </c>
      <c r="H39" s="10" t="n">
        <f aca="false">F39-G39</f>
        <v>0</v>
      </c>
      <c r="I39" s="10" t="str">
        <f aca="false">IF(ABS(H39)&lt;=0.000001,"PASS","FAIL")</f>
        <v>PASS</v>
      </c>
      <c r="J39" s="10" t="s">
        <v>1133</v>
      </c>
    </row>
    <row r="40" customFormat="false" ht="15" hidden="false" customHeight="false" outlineLevel="0" collapsed="false">
      <c r="A40" s="10" t="s">
        <v>1157</v>
      </c>
      <c r="B40" s="10" t="s">
        <v>1100</v>
      </c>
      <c r="C40" s="10" t="s">
        <v>1158</v>
      </c>
      <c r="D40" s="10" t="s">
        <v>1136</v>
      </c>
      <c r="E40" s="10" t="s">
        <v>65</v>
      </c>
      <c r="F40" s="22" t="n">
        <f aca="false">Guidance_Accuracy!I9</f>
        <v>108497</v>
      </c>
      <c r="G40" s="12" t="n">
        <v>108497</v>
      </c>
      <c r="H40" s="10" t="n">
        <f aca="false">F40-G40</f>
        <v>0</v>
      </c>
      <c r="I40" s="10" t="str">
        <f aca="false">IF(ABS(H40)&lt;=0.000001,"PASS","FAIL")</f>
        <v>PASS</v>
      </c>
      <c r="J40" s="10" t="s">
        <v>1159</v>
      </c>
    </row>
    <row r="41" customFormat="false" ht="15" hidden="false" customHeight="false" outlineLevel="0" collapsed="false">
      <c r="A41" s="10" t="s">
        <v>1160</v>
      </c>
      <c r="B41" s="10" t="s">
        <v>1101</v>
      </c>
      <c r="C41" s="10" t="s">
        <v>1161</v>
      </c>
      <c r="D41" s="10" t="s">
        <v>1136</v>
      </c>
      <c r="E41" s="10" t="s">
        <v>67</v>
      </c>
      <c r="F41" s="25" t="n">
        <f aca="false">Guidance_Accuracy!S9</f>
        <v>-100</v>
      </c>
      <c r="G41" s="12" t="n">
        <v>-100</v>
      </c>
      <c r="H41" s="10" t="n">
        <f aca="false">F41-G41</f>
        <v>0</v>
      </c>
      <c r="I41" s="10" t="str">
        <f aca="false">IF(ABS(H41)&lt;=0.000001,"PASS","FAIL")</f>
        <v>PASS</v>
      </c>
      <c r="J41" s="10" t="s">
        <v>1162</v>
      </c>
    </row>
    <row r="42" customFormat="false" ht="15" hidden="false" customHeight="false" outlineLevel="0" collapsed="false">
      <c r="A42" s="10" t="s">
        <v>1163</v>
      </c>
      <c r="B42" s="10" t="s">
        <v>1099</v>
      </c>
      <c r="C42" s="10" t="s">
        <v>1164</v>
      </c>
      <c r="D42" s="10" t="s">
        <v>1124</v>
      </c>
      <c r="E42" s="10" t="s">
        <v>70</v>
      </c>
      <c r="F42" s="24" t="n">
        <f aca="false">Guidance_Accuracy!D10</f>
        <v>44697</v>
      </c>
      <c r="G42" s="11" t="n">
        <v>44697</v>
      </c>
      <c r="H42" s="10" t="n">
        <f aca="false">F42-G42</f>
        <v>0</v>
      </c>
      <c r="I42" s="10" t="str">
        <f aca="false">IF(ABS(H42)&lt;=0.000001,"PASS","FAIL")</f>
        <v>PASS</v>
      </c>
      <c r="J42" s="10" t="s">
        <v>1125</v>
      </c>
    </row>
    <row r="43" customFormat="false" ht="15" hidden="false" customHeight="false" outlineLevel="0" collapsed="false">
      <c r="A43" s="10" t="s">
        <v>1165</v>
      </c>
      <c r="B43" s="10" t="s">
        <v>1099</v>
      </c>
      <c r="C43" s="10" t="s">
        <v>1166</v>
      </c>
      <c r="D43" s="10" t="s">
        <v>1124</v>
      </c>
      <c r="E43" s="10" t="s">
        <v>70</v>
      </c>
      <c r="F43" s="10" t="str">
        <f aca="false">Guidance_Accuracy!E10</f>
        <v>Revenue</v>
      </c>
      <c r="G43" s="12" t="s">
        <v>24</v>
      </c>
      <c r="H43" s="10" t="n">
        <f aca="false">IF(EXACT(F43,G43),0,1)</f>
        <v>0</v>
      </c>
      <c r="I43" s="10" t="str">
        <f aca="false">IF(ABS(H43)&lt;=0.000001,"PASS","FAIL")</f>
        <v>PASS</v>
      </c>
      <c r="J43" s="10" t="s">
        <v>29</v>
      </c>
    </row>
    <row r="44" customFormat="false" ht="15" hidden="false" customHeight="false" outlineLevel="0" collapsed="false">
      <c r="A44" s="10" t="s">
        <v>1167</v>
      </c>
      <c r="B44" s="10" t="s">
        <v>1099</v>
      </c>
      <c r="C44" s="10" t="s">
        <v>1168</v>
      </c>
      <c r="D44" s="10" t="s">
        <v>1124</v>
      </c>
      <c r="E44" s="10" t="s">
        <v>70</v>
      </c>
      <c r="F44" s="14" t="n">
        <f aca="false">Guidance_Accuracy!F10</f>
        <v>117</v>
      </c>
      <c r="G44" s="12" t="n">
        <v>117</v>
      </c>
      <c r="H44" s="10" t="n">
        <f aca="false">F44-G44</f>
        <v>0</v>
      </c>
      <c r="I44" s="10" t="str">
        <f aca="false">IF(ABS(H44)&lt;=0.000001,"PASS","FAIL")</f>
        <v>PASS</v>
      </c>
      <c r="J44" s="10" t="s">
        <v>1130</v>
      </c>
    </row>
    <row r="45" customFormat="false" ht="15" hidden="false" customHeight="false" outlineLevel="0" collapsed="false">
      <c r="A45" s="10" t="s">
        <v>1169</v>
      </c>
      <c r="B45" s="10" t="s">
        <v>1099</v>
      </c>
      <c r="C45" s="10" t="s">
        <v>1170</v>
      </c>
      <c r="D45" s="10" t="s">
        <v>1124</v>
      </c>
      <c r="E45" s="10" t="s">
        <v>70</v>
      </c>
      <c r="F45" s="14" t="n">
        <f aca="false">Guidance_Accuracy!G10</f>
        <v>119</v>
      </c>
      <c r="G45" s="12" t="n">
        <v>119</v>
      </c>
      <c r="H45" s="10" t="n">
        <f aca="false">F45-G45</f>
        <v>0</v>
      </c>
      <c r="I45" s="10" t="str">
        <f aca="false">IF(ABS(H45)&lt;=0.000001,"PASS","FAIL")</f>
        <v>PASS</v>
      </c>
      <c r="J45" s="10" t="s">
        <v>1133</v>
      </c>
    </row>
    <row r="46" customFormat="false" ht="15" hidden="false" customHeight="false" outlineLevel="0" collapsed="false">
      <c r="A46" s="10" t="s">
        <v>1171</v>
      </c>
      <c r="B46" s="10" t="s">
        <v>1100</v>
      </c>
      <c r="C46" s="10" t="s">
        <v>1172</v>
      </c>
      <c r="D46" s="10" t="s">
        <v>1136</v>
      </c>
      <c r="E46" s="10" t="s">
        <v>71</v>
      </c>
      <c r="F46" s="22" t="n">
        <f aca="false">Guidance_Accuracy!I10</f>
        <v>123718</v>
      </c>
      <c r="G46" s="12" t="n">
        <v>123718</v>
      </c>
      <c r="H46" s="10" t="n">
        <f aca="false">F46-G46</f>
        <v>0</v>
      </c>
      <c r="I46" s="10" t="str">
        <f aca="false">IF(ABS(H46)&lt;=0.000001,"PASS","FAIL")</f>
        <v>PASS</v>
      </c>
      <c r="J46" s="10" t="s">
        <v>1173</v>
      </c>
    </row>
    <row r="47" customFormat="false" ht="15" hidden="false" customHeight="false" outlineLevel="0" collapsed="false">
      <c r="A47" s="10" t="s">
        <v>1174</v>
      </c>
      <c r="B47" s="10" t="s">
        <v>1101</v>
      </c>
      <c r="C47" s="10" t="s">
        <v>1175</v>
      </c>
      <c r="D47" s="10" t="s">
        <v>1136</v>
      </c>
      <c r="E47" s="10" t="s">
        <v>73</v>
      </c>
      <c r="F47" s="25" t="n">
        <f aca="false">Guidance_Accuracy!S10</f>
        <v>-200</v>
      </c>
      <c r="G47" s="12" t="n">
        <v>-200</v>
      </c>
      <c r="H47" s="10" t="n">
        <f aca="false">F47-G47</f>
        <v>0</v>
      </c>
      <c r="I47" s="10" t="str">
        <f aca="false">IF(ABS(H47)&lt;=0.000001,"PASS","FAIL")</f>
        <v>PASS</v>
      </c>
      <c r="J47" s="10" t="s">
        <v>1176</v>
      </c>
    </row>
    <row r="48" customFormat="false" ht="15" hidden="false" customHeight="false" outlineLevel="0" collapsed="false">
      <c r="A48" s="10" t="s">
        <v>1177</v>
      </c>
      <c r="B48" s="10" t="s">
        <v>1099</v>
      </c>
      <c r="C48" s="10" t="s">
        <v>1178</v>
      </c>
      <c r="D48" s="10" t="s">
        <v>1124</v>
      </c>
      <c r="E48" s="10" t="s">
        <v>75</v>
      </c>
      <c r="F48" s="24" t="n">
        <f aca="false">Guidance_Accuracy!D11</f>
        <v>44781</v>
      </c>
      <c r="G48" s="11" t="n">
        <v>44781</v>
      </c>
      <c r="H48" s="10" t="n">
        <f aca="false">F48-G48</f>
        <v>0</v>
      </c>
      <c r="I48" s="10" t="str">
        <f aca="false">IF(ABS(H48)&lt;=0.000001,"PASS","FAIL")</f>
        <v>PASS</v>
      </c>
      <c r="J48" s="10" t="s">
        <v>1125</v>
      </c>
    </row>
    <row r="49" customFormat="false" ht="15" hidden="false" customHeight="false" outlineLevel="0" collapsed="false">
      <c r="A49" s="10" t="s">
        <v>1179</v>
      </c>
      <c r="B49" s="10" t="s">
        <v>1099</v>
      </c>
      <c r="C49" s="10" t="s">
        <v>1180</v>
      </c>
      <c r="D49" s="10" t="s">
        <v>1124</v>
      </c>
      <c r="E49" s="10" t="s">
        <v>75</v>
      </c>
      <c r="F49" s="10" t="str">
        <f aca="false">Guidance_Accuracy!E11</f>
        <v>Revenue</v>
      </c>
      <c r="G49" s="12" t="s">
        <v>24</v>
      </c>
      <c r="H49" s="10" t="n">
        <f aca="false">IF(EXACT(F49,G49),0,1)</f>
        <v>0</v>
      </c>
      <c r="I49" s="10" t="str">
        <f aca="false">IF(ABS(H49)&lt;=0.000001,"PASS","FAIL")</f>
        <v>PASS</v>
      </c>
      <c r="J49" s="10" t="s">
        <v>29</v>
      </c>
    </row>
    <row r="50" customFormat="false" ht="15" hidden="false" customHeight="false" outlineLevel="0" collapsed="false">
      <c r="A50" s="10" t="s">
        <v>1181</v>
      </c>
      <c r="B50" s="10" t="s">
        <v>1099</v>
      </c>
      <c r="C50" s="10" t="s">
        <v>1182</v>
      </c>
      <c r="D50" s="10" t="s">
        <v>1124</v>
      </c>
      <c r="E50" s="10" t="s">
        <v>75</v>
      </c>
      <c r="F50" s="14" t="n">
        <f aca="false">Guidance_Accuracy!F11</f>
        <v>130</v>
      </c>
      <c r="G50" s="12" t="n">
        <v>130</v>
      </c>
      <c r="H50" s="10" t="n">
        <f aca="false">F50-G50</f>
        <v>0</v>
      </c>
      <c r="I50" s="10" t="str">
        <f aca="false">IF(ABS(H50)&lt;=0.000001,"PASS","FAIL")</f>
        <v>PASS</v>
      </c>
      <c r="J50" s="10" t="s">
        <v>1130</v>
      </c>
    </row>
    <row r="51" customFormat="false" ht="15" hidden="false" customHeight="false" outlineLevel="0" collapsed="false">
      <c r="A51" s="10" t="s">
        <v>1183</v>
      </c>
      <c r="B51" s="10" t="s">
        <v>1099</v>
      </c>
      <c r="C51" s="10" t="s">
        <v>1184</v>
      </c>
      <c r="D51" s="10" t="s">
        <v>1124</v>
      </c>
      <c r="E51" s="10" t="s">
        <v>75</v>
      </c>
      <c r="F51" s="14" t="n">
        <f aca="false">Guidance_Accuracy!G11</f>
        <v>131</v>
      </c>
      <c r="G51" s="12" t="n">
        <v>131</v>
      </c>
      <c r="H51" s="10" t="n">
        <f aca="false">F51-G51</f>
        <v>0</v>
      </c>
      <c r="I51" s="10" t="str">
        <f aca="false">IF(ABS(H51)&lt;=0.000001,"PASS","FAIL")</f>
        <v>PASS</v>
      </c>
      <c r="J51" s="10" t="s">
        <v>1133</v>
      </c>
    </row>
    <row r="52" customFormat="false" ht="15" hidden="false" customHeight="false" outlineLevel="0" collapsed="false">
      <c r="A52" s="10" t="s">
        <v>1185</v>
      </c>
      <c r="B52" s="10" t="s">
        <v>1100</v>
      </c>
      <c r="C52" s="10" t="s">
        <v>1186</v>
      </c>
      <c r="D52" s="10" t="s">
        <v>1136</v>
      </c>
      <c r="E52" s="10" t="s">
        <v>76</v>
      </c>
      <c r="F52" s="22" t="n">
        <f aca="false">Guidance_Accuracy!I11</f>
        <v>136893</v>
      </c>
      <c r="G52" s="12" t="n">
        <v>136893</v>
      </c>
      <c r="H52" s="10" t="n">
        <f aca="false">F52-G52</f>
        <v>0</v>
      </c>
      <c r="I52" s="10" t="str">
        <f aca="false">IF(ABS(H52)&lt;=0.000001,"PASS","FAIL")</f>
        <v>PASS</v>
      </c>
      <c r="J52" s="10" t="s">
        <v>1187</v>
      </c>
    </row>
    <row r="53" customFormat="false" ht="15" hidden="false" customHeight="false" outlineLevel="0" collapsed="false">
      <c r="A53" s="10" t="s">
        <v>1188</v>
      </c>
      <c r="B53" s="10" t="s">
        <v>1101</v>
      </c>
      <c r="C53" s="10" t="s">
        <v>1189</v>
      </c>
      <c r="D53" s="10" t="s">
        <v>1136</v>
      </c>
      <c r="E53" s="10" t="s">
        <v>77</v>
      </c>
      <c r="F53" s="25" t="n">
        <f aca="false">Guidance_Accuracy!S11</f>
        <v>-300</v>
      </c>
      <c r="G53" s="12" t="n">
        <v>-300</v>
      </c>
      <c r="H53" s="10" t="n">
        <f aca="false">F53-G53</f>
        <v>0</v>
      </c>
      <c r="I53" s="10" t="str">
        <f aca="false">IF(ABS(H53)&lt;=0.000001,"PASS","FAIL")</f>
        <v>PASS</v>
      </c>
      <c r="J53" s="10" t="s">
        <v>1190</v>
      </c>
    </row>
    <row r="54" customFormat="false" ht="15" hidden="false" customHeight="false" outlineLevel="0" collapsed="false">
      <c r="A54" s="10" t="s">
        <v>1191</v>
      </c>
      <c r="B54" s="10" t="s">
        <v>1099</v>
      </c>
      <c r="C54" s="10" t="s">
        <v>1192</v>
      </c>
      <c r="D54" s="10" t="s">
        <v>1124</v>
      </c>
      <c r="E54" s="10" t="s">
        <v>79</v>
      </c>
      <c r="F54" s="24" t="n">
        <f aca="false">Guidance_Accuracy!D12</f>
        <v>44879</v>
      </c>
      <c r="G54" s="11" t="n">
        <v>44879</v>
      </c>
      <c r="H54" s="10" t="n">
        <f aca="false">F54-G54</f>
        <v>0</v>
      </c>
      <c r="I54" s="10" t="str">
        <f aca="false">IF(ABS(H54)&lt;=0.000001,"PASS","FAIL")</f>
        <v>PASS</v>
      </c>
      <c r="J54" s="10" t="s">
        <v>1125</v>
      </c>
    </row>
    <row r="55" customFormat="false" ht="15" hidden="false" customHeight="false" outlineLevel="0" collapsed="false">
      <c r="A55" s="10" t="s">
        <v>1193</v>
      </c>
      <c r="B55" s="10" t="s">
        <v>1099</v>
      </c>
      <c r="C55" s="10" t="s">
        <v>1194</v>
      </c>
      <c r="D55" s="10" t="s">
        <v>1124</v>
      </c>
      <c r="E55" s="10" t="s">
        <v>79</v>
      </c>
      <c r="F55" s="10" t="str">
        <f aca="false">Guidance_Accuracy!E12</f>
        <v>Revenue</v>
      </c>
      <c r="G55" s="12" t="s">
        <v>24</v>
      </c>
      <c r="H55" s="10" t="n">
        <f aca="false">IF(EXACT(F55,G55),0,1)</f>
        <v>0</v>
      </c>
      <c r="I55" s="10" t="str">
        <f aca="false">IF(ABS(H55)&lt;=0.000001,"PASS","FAIL")</f>
        <v>PASS</v>
      </c>
      <c r="J55" s="10" t="s">
        <v>29</v>
      </c>
    </row>
    <row r="56" customFormat="false" ht="15" hidden="false" customHeight="false" outlineLevel="0" collapsed="false">
      <c r="A56" s="10" t="s">
        <v>1195</v>
      </c>
      <c r="B56" s="10" t="s">
        <v>1099</v>
      </c>
      <c r="C56" s="10" t="s">
        <v>1196</v>
      </c>
      <c r="D56" s="10" t="s">
        <v>1124</v>
      </c>
      <c r="E56" s="10" t="s">
        <v>79</v>
      </c>
      <c r="F56" s="14" t="n">
        <f aca="false">Guidance_Accuracy!F12</f>
        <v>140</v>
      </c>
      <c r="G56" s="12" t="n">
        <v>140</v>
      </c>
      <c r="H56" s="10" t="n">
        <f aca="false">F56-G56</f>
        <v>0</v>
      </c>
      <c r="I56" s="10" t="str">
        <f aca="false">IF(ABS(H56)&lt;=0.000001,"PASS","FAIL")</f>
        <v>PASS</v>
      </c>
      <c r="J56" s="10" t="s">
        <v>1130</v>
      </c>
    </row>
    <row r="57" customFormat="false" ht="15" hidden="false" customHeight="false" outlineLevel="0" collapsed="false">
      <c r="A57" s="10" t="s">
        <v>1197</v>
      </c>
      <c r="B57" s="10" t="s">
        <v>1099</v>
      </c>
      <c r="C57" s="10" t="s">
        <v>1198</v>
      </c>
      <c r="D57" s="10" t="s">
        <v>1124</v>
      </c>
      <c r="E57" s="10" t="s">
        <v>79</v>
      </c>
      <c r="F57" s="14" t="n">
        <f aca="false">Guidance_Accuracy!G12</f>
        <v>142</v>
      </c>
      <c r="G57" s="12" t="n">
        <v>142</v>
      </c>
      <c r="H57" s="10" t="n">
        <f aca="false">F57-G57</f>
        <v>0</v>
      </c>
      <c r="I57" s="10" t="str">
        <f aca="false">IF(ABS(H57)&lt;=0.000001,"PASS","FAIL")</f>
        <v>PASS</v>
      </c>
      <c r="J57" s="10" t="s">
        <v>1133</v>
      </c>
    </row>
    <row r="58" customFormat="false" ht="15" hidden="false" customHeight="false" outlineLevel="0" collapsed="false">
      <c r="A58" s="10" t="s">
        <v>1199</v>
      </c>
      <c r="B58" s="10" t="s">
        <v>1100</v>
      </c>
      <c r="C58" s="10" t="s">
        <v>1200</v>
      </c>
      <c r="D58" s="10" t="s">
        <v>1136</v>
      </c>
      <c r="E58" s="10" t="s">
        <v>80</v>
      </c>
      <c r="F58" s="22" t="n">
        <f aca="false">Guidance_Accuracy!I12</f>
        <v>149921</v>
      </c>
      <c r="G58" s="12" t="n">
        <v>149921</v>
      </c>
      <c r="H58" s="10" t="n">
        <f aca="false">F58-G58</f>
        <v>0</v>
      </c>
      <c r="I58" s="10" t="str">
        <f aca="false">IF(ABS(H58)&lt;=0.000001,"PASS","FAIL")</f>
        <v>PASS</v>
      </c>
      <c r="J58" s="10" t="s">
        <v>1201</v>
      </c>
    </row>
    <row r="59" customFormat="false" ht="15" hidden="false" customHeight="false" outlineLevel="0" collapsed="false">
      <c r="A59" s="10" t="s">
        <v>1202</v>
      </c>
      <c r="B59" s="10" t="s">
        <v>1101</v>
      </c>
      <c r="C59" s="10" t="s">
        <v>1203</v>
      </c>
      <c r="D59" s="10" t="s">
        <v>1136</v>
      </c>
      <c r="E59" s="10" t="s">
        <v>82</v>
      </c>
      <c r="F59" s="25" t="n">
        <f aca="false">Guidance_Accuracy!S12</f>
        <v>-300</v>
      </c>
      <c r="G59" s="12" t="n">
        <v>-300</v>
      </c>
      <c r="H59" s="10" t="n">
        <f aca="false">F59-G59</f>
        <v>0</v>
      </c>
      <c r="I59" s="10" t="str">
        <f aca="false">IF(ABS(H59)&lt;=0.000001,"PASS","FAIL")</f>
        <v>PASS</v>
      </c>
      <c r="J59" s="10" t="s">
        <v>1204</v>
      </c>
    </row>
    <row r="60" customFormat="false" ht="15" hidden="false" customHeight="false" outlineLevel="0" collapsed="false">
      <c r="A60" s="10" t="s">
        <v>1205</v>
      </c>
      <c r="B60" s="10" t="s">
        <v>1099</v>
      </c>
      <c r="C60" s="10" t="s">
        <v>1206</v>
      </c>
      <c r="D60" s="10" t="s">
        <v>1124</v>
      </c>
      <c r="E60" s="10" t="s">
        <v>84</v>
      </c>
      <c r="F60" s="24" t="n">
        <f aca="false">Guidance_Accuracy!D13</f>
        <v>44970</v>
      </c>
      <c r="G60" s="11" t="n">
        <v>44970</v>
      </c>
      <c r="H60" s="10" t="n">
        <f aca="false">F60-G60</f>
        <v>0</v>
      </c>
      <c r="I60" s="10" t="str">
        <f aca="false">IF(ABS(H60)&lt;=0.000001,"PASS","FAIL")</f>
        <v>PASS</v>
      </c>
      <c r="J60" s="10" t="s">
        <v>1125</v>
      </c>
    </row>
    <row r="61" customFormat="false" ht="15" hidden="false" customHeight="false" outlineLevel="0" collapsed="false">
      <c r="A61" s="10" t="s">
        <v>1207</v>
      </c>
      <c r="B61" s="10" t="s">
        <v>1099</v>
      </c>
      <c r="C61" s="10" t="s">
        <v>1208</v>
      </c>
      <c r="D61" s="10" t="s">
        <v>1124</v>
      </c>
      <c r="E61" s="10" t="s">
        <v>84</v>
      </c>
      <c r="F61" s="10" t="str">
        <f aca="false">Guidance_Accuracy!E13</f>
        <v>Revenue</v>
      </c>
      <c r="G61" s="12" t="s">
        <v>24</v>
      </c>
      <c r="H61" s="10" t="n">
        <f aca="false">IF(EXACT(F61,G61),0,1)</f>
        <v>0</v>
      </c>
      <c r="I61" s="10" t="str">
        <f aca="false">IF(ABS(H61)&lt;=0.000001,"PASS","FAIL")</f>
        <v>PASS</v>
      </c>
      <c r="J61" s="10" t="s">
        <v>29</v>
      </c>
    </row>
    <row r="62" customFormat="false" ht="15" hidden="false" customHeight="false" outlineLevel="0" collapsed="false">
      <c r="A62" s="10" t="s">
        <v>1209</v>
      </c>
      <c r="B62" s="10" t="s">
        <v>1099</v>
      </c>
      <c r="C62" s="10" t="s">
        <v>1210</v>
      </c>
      <c r="D62" s="10" t="s">
        <v>1124</v>
      </c>
      <c r="E62" s="10" t="s">
        <v>84</v>
      </c>
      <c r="F62" s="14" t="n">
        <f aca="false">Guidance_Accuracy!F13</f>
        <v>154</v>
      </c>
      <c r="G62" s="12" t="n">
        <v>154</v>
      </c>
      <c r="H62" s="10" t="n">
        <f aca="false">F62-G62</f>
        <v>0</v>
      </c>
      <c r="I62" s="10" t="str">
        <f aca="false">IF(ABS(H62)&lt;=0.000001,"PASS","FAIL")</f>
        <v>PASS</v>
      </c>
      <c r="J62" s="10" t="s">
        <v>1130</v>
      </c>
    </row>
    <row r="63" customFormat="false" ht="15" hidden="false" customHeight="false" outlineLevel="0" collapsed="false">
      <c r="A63" s="10" t="s">
        <v>1211</v>
      </c>
      <c r="B63" s="10" t="s">
        <v>1099</v>
      </c>
      <c r="C63" s="10" t="s">
        <v>1212</v>
      </c>
      <c r="D63" s="10" t="s">
        <v>1124</v>
      </c>
      <c r="E63" s="10" t="s">
        <v>84</v>
      </c>
      <c r="F63" s="14" t="n">
        <f aca="false">Guidance_Accuracy!G13</f>
        <v>156</v>
      </c>
      <c r="G63" s="12" t="n">
        <v>156</v>
      </c>
      <c r="H63" s="10" t="n">
        <f aca="false">F63-G63</f>
        <v>0</v>
      </c>
      <c r="I63" s="10" t="str">
        <f aca="false">IF(ABS(H63)&lt;=0.000001,"PASS","FAIL")</f>
        <v>PASS</v>
      </c>
      <c r="J63" s="10" t="s">
        <v>1133</v>
      </c>
    </row>
    <row r="64" customFormat="false" ht="15" hidden="false" customHeight="false" outlineLevel="0" collapsed="false">
      <c r="A64" s="10" t="s">
        <v>1213</v>
      </c>
      <c r="B64" s="10" t="s">
        <v>1100</v>
      </c>
      <c r="C64" s="10" t="s">
        <v>1214</v>
      </c>
      <c r="D64" s="10" t="s">
        <v>1136</v>
      </c>
      <c r="E64" s="10" t="s">
        <v>85</v>
      </c>
      <c r="F64" s="22" t="n">
        <f aca="false">Guidance_Accuracy!I13</f>
        <v>162256</v>
      </c>
      <c r="G64" s="12" t="n">
        <v>162256</v>
      </c>
      <c r="H64" s="10" t="n">
        <f aca="false">F64-G64</f>
        <v>0</v>
      </c>
      <c r="I64" s="10" t="str">
        <f aca="false">IF(ABS(H64)&lt;=0.000001,"PASS","FAIL")</f>
        <v>PASS</v>
      </c>
      <c r="J64" s="10" t="s">
        <v>1215</v>
      </c>
    </row>
    <row r="65" customFormat="false" ht="15" hidden="false" customHeight="false" outlineLevel="0" collapsed="false">
      <c r="A65" s="10" t="s">
        <v>1216</v>
      </c>
      <c r="B65" s="10" t="s">
        <v>1101</v>
      </c>
      <c r="C65" s="10" t="s">
        <v>1217</v>
      </c>
      <c r="D65" s="10" t="s">
        <v>1136</v>
      </c>
      <c r="E65" s="10" t="s">
        <v>87</v>
      </c>
      <c r="F65" s="25" t="n">
        <f aca="false">Guidance_Accuracy!S13</f>
        <v>-100</v>
      </c>
      <c r="G65" s="12" t="n">
        <v>-100</v>
      </c>
      <c r="H65" s="10" t="n">
        <f aca="false">F65-G65</f>
        <v>0</v>
      </c>
      <c r="I65" s="10" t="str">
        <f aca="false">IF(ABS(H65)&lt;=0.000001,"PASS","FAIL")</f>
        <v>PASS</v>
      </c>
      <c r="J65" s="10" t="s">
        <v>1218</v>
      </c>
    </row>
    <row r="66" customFormat="false" ht="15" hidden="false" customHeight="false" outlineLevel="0" collapsed="false">
      <c r="A66" s="10" t="s">
        <v>1219</v>
      </c>
      <c r="B66" s="10" t="s">
        <v>1099</v>
      </c>
      <c r="C66" s="10" t="s">
        <v>1220</v>
      </c>
      <c r="D66" s="10" t="s">
        <v>1124</v>
      </c>
      <c r="E66" s="10" t="s">
        <v>89</v>
      </c>
      <c r="F66" s="24" t="n">
        <f aca="false">Guidance_Accuracy!D14</f>
        <v>45061</v>
      </c>
      <c r="G66" s="11" t="n">
        <v>45061</v>
      </c>
      <c r="H66" s="10" t="n">
        <f aca="false">F66-G66</f>
        <v>0</v>
      </c>
      <c r="I66" s="10" t="str">
        <f aca="false">IF(ABS(H66)&lt;=0.000001,"PASS","FAIL")</f>
        <v>PASS</v>
      </c>
      <c r="J66" s="10" t="s">
        <v>1125</v>
      </c>
    </row>
    <row r="67" customFormat="false" ht="15" hidden="false" customHeight="false" outlineLevel="0" collapsed="false">
      <c r="A67" s="10" t="s">
        <v>1221</v>
      </c>
      <c r="B67" s="10" t="s">
        <v>1099</v>
      </c>
      <c r="C67" s="10" t="s">
        <v>1222</v>
      </c>
      <c r="D67" s="10" t="s">
        <v>1124</v>
      </c>
      <c r="E67" s="10" t="s">
        <v>89</v>
      </c>
      <c r="F67" s="10" t="str">
        <f aca="false">Guidance_Accuracy!E14</f>
        <v>Revenue</v>
      </c>
      <c r="G67" s="12" t="s">
        <v>24</v>
      </c>
      <c r="H67" s="10" t="n">
        <f aca="false">IF(EXACT(F67,G67),0,1)</f>
        <v>0</v>
      </c>
      <c r="I67" s="10" t="str">
        <f aca="false">IF(ABS(H67)&lt;=0.000001,"PASS","FAIL")</f>
        <v>PASS</v>
      </c>
      <c r="J67" s="10" t="s">
        <v>29</v>
      </c>
    </row>
    <row r="68" customFormat="false" ht="15" hidden="false" customHeight="false" outlineLevel="0" collapsed="false">
      <c r="A68" s="10" t="s">
        <v>1223</v>
      </c>
      <c r="B68" s="10" t="s">
        <v>1099</v>
      </c>
      <c r="C68" s="10" t="s">
        <v>1224</v>
      </c>
      <c r="D68" s="10" t="s">
        <v>1124</v>
      </c>
      <c r="E68" s="10" t="s">
        <v>89</v>
      </c>
      <c r="F68" s="14" t="n">
        <f aca="false">Guidance_Accuracy!F14</f>
        <v>168</v>
      </c>
      <c r="G68" s="12" t="n">
        <v>168</v>
      </c>
      <c r="H68" s="10" t="n">
        <f aca="false">F68-G68</f>
        <v>0</v>
      </c>
      <c r="I68" s="10" t="str">
        <f aca="false">IF(ABS(H68)&lt;=0.000001,"PASS","FAIL")</f>
        <v>PASS</v>
      </c>
      <c r="J68" s="10" t="s">
        <v>1130</v>
      </c>
    </row>
    <row r="69" customFormat="false" ht="15" hidden="false" customHeight="false" outlineLevel="0" collapsed="false">
      <c r="A69" s="10" t="s">
        <v>1225</v>
      </c>
      <c r="B69" s="10" t="s">
        <v>1099</v>
      </c>
      <c r="C69" s="10" t="s">
        <v>1226</v>
      </c>
      <c r="D69" s="10" t="s">
        <v>1124</v>
      </c>
      <c r="E69" s="10" t="s">
        <v>89</v>
      </c>
      <c r="F69" s="14" t="n">
        <f aca="false">Guidance_Accuracy!G14</f>
        <v>170</v>
      </c>
      <c r="G69" s="12" t="n">
        <v>170</v>
      </c>
      <c r="H69" s="10" t="n">
        <f aca="false">F69-G69</f>
        <v>0</v>
      </c>
      <c r="I69" s="10" t="str">
        <f aca="false">IF(ABS(H69)&lt;=0.000001,"PASS","FAIL")</f>
        <v>PASS</v>
      </c>
      <c r="J69" s="10" t="s">
        <v>1133</v>
      </c>
    </row>
    <row r="70" customFormat="false" ht="15" hidden="false" customHeight="false" outlineLevel="0" collapsed="false">
      <c r="A70" s="10" t="s">
        <v>1227</v>
      </c>
      <c r="B70" s="10" t="s">
        <v>1100</v>
      </c>
      <c r="C70" s="10" t="s">
        <v>1228</v>
      </c>
      <c r="D70" s="10" t="s">
        <v>1136</v>
      </c>
      <c r="E70" s="10" t="s">
        <v>90</v>
      </c>
      <c r="F70" s="22" t="n">
        <f aca="false">Guidance_Accuracy!I14</f>
        <v>175679</v>
      </c>
      <c r="G70" s="12" t="n">
        <v>175679</v>
      </c>
      <c r="H70" s="10" t="n">
        <f aca="false">F70-G70</f>
        <v>0</v>
      </c>
      <c r="I70" s="10" t="str">
        <f aca="false">IF(ABS(H70)&lt;=0.000001,"PASS","FAIL")</f>
        <v>PASS</v>
      </c>
      <c r="J70" s="10" t="s">
        <v>1229</v>
      </c>
    </row>
    <row r="71" customFormat="false" ht="15" hidden="false" customHeight="false" outlineLevel="0" collapsed="false">
      <c r="A71" s="10" t="s">
        <v>1230</v>
      </c>
      <c r="B71" s="10" t="s">
        <v>1101</v>
      </c>
      <c r="C71" s="10" t="s">
        <v>1231</v>
      </c>
      <c r="D71" s="10" t="s">
        <v>1136</v>
      </c>
      <c r="E71" s="10" t="s">
        <v>92</v>
      </c>
      <c r="F71" s="25" t="n">
        <f aca="false">Guidance_Accuracy!S14</f>
        <v>-100</v>
      </c>
      <c r="G71" s="12" t="n">
        <v>-100</v>
      </c>
      <c r="H71" s="10" t="n">
        <f aca="false">F71-G71</f>
        <v>0</v>
      </c>
      <c r="I71" s="10" t="str">
        <f aca="false">IF(ABS(H71)&lt;=0.000001,"PASS","FAIL")</f>
        <v>PASS</v>
      </c>
      <c r="J71" s="10" t="s">
        <v>1232</v>
      </c>
    </row>
    <row r="72" customFormat="false" ht="15" hidden="false" customHeight="false" outlineLevel="0" collapsed="false">
      <c r="A72" s="10" t="s">
        <v>1233</v>
      </c>
      <c r="B72" s="10" t="s">
        <v>1099</v>
      </c>
      <c r="C72" s="10" t="s">
        <v>1234</v>
      </c>
      <c r="D72" s="10" t="s">
        <v>1124</v>
      </c>
      <c r="E72" s="10" t="s">
        <v>94</v>
      </c>
      <c r="F72" s="24" t="n">
        <f aca="false">Guidance_Accuracy!D15</f>
        <v>45152</v>
      </c>
      <c r="G72" s="11" t="n">
        <v>45152</v>
      </c>
      <c r="H72" s="10" t="n">
        <f aca="false">F72-G72</f>
        <v>0</v>
      </c>
      <c r="I72" s="10" t="str">
        <f aca="false">IF(ABS(H72)&lt;=0.000001,"PASS","FAIL")</f>
        <v>PASS</v>
      </c>
      <c r="J72" s="10" t="s">
        <v>1125</v>
      </c>
    </row>
    <row r="73" customFormat="false" ht="15" hidden="false" customHeight="false" outlineLevel="0" collapsed="false">
      <c r="A73" s="10" t="s">
        <v>1235</v>
      </c>
      <c r="B73" s="10" t="s">
        <v>1099</v>
      </c>
      <c r="C73" s="10" t="s">
        <v>1236</v>
      </c>
      <c r="D73" s="10" t="s">
        <v>1124</v>
      </c>
      <c r="E73" s="10" t="s">
        <v>94</v>
      </c>
      <c r="F73" s="10" t="str">
        <f aca="false">Guidance_Accuracy!E15</f>
        <v>Revenue</v>
      </c>
      <c r="G73" s="12" t="s">
        <v>24</v>
      </c>
      <c r="H73" s="10" t="n">
        <f aca="false">IF(EXACT(F73,G73),0,1)</f>
        <v>0</v>
      </c>
      <c r="I73" s="10" t="str">
        <f aca="false">IF(ABS(H73)&lt;=0.000001,"PASS","FAIL")</f>
        <v>PASS</v>
      </c>
      <c r="J73" s="10" t="s">
        <v>29</v>
      </c>
    </row>
    <row r="74" customFormat="false" ht="15" hidden="false" customHeight="false" outlineLevel="0" collapsed="false">
      <c r="A74" s="10" t="s">
        <v>1237</v>
      </c>
      <c r="B74" s="10" t="s">
        <v>1099</v>
      </c>
      <c r="C74" s="10" t="s">
        <v>1238</v>
      </c>
      <c r="D74" s="10" t="s">
        <v>1124</v>
      </c>
      <c r="E74" s="10" t="s">
        <v>94</v>
      </c>
      <c r="F74" s="14" t="n">
        <f aca="false">Guidance_Accuracy!F15</f>
        <v>181</v>
      </c>
      <c r="G74" s="12" t="n">
        <v>181</v>
      </c>
      <c r="H74" s="10" t="n">
        <f aca="false">F74-G74</f>
        <v>0</v>
      </c>
      <c r="I74" s="10" t="str">
        <f aca="false">IF(ABS(H74)&lt;=0.000001,"PASS","FAIL")</f>
        <v>PASS</v>
      </c>
      <c r="J74" s="10" t="s">
        <v>1130</v>
      </c>
    </row>
    <row r="75" customFormat="false" ht="15" hidden="false" customHeight="false" outlineLevel="0" collapsed="false">
      <c r="A75" s="10" t="s">
        <v>1239</v>
      </c>
      <c r="B75" s="10" t="s">
        <v>1099</v>
      </c>
      <c r="C75" s="10" t="s">
        <v>1240</v>
      </c>
      <c r="D75" s="10" t="s">
        <v>1124</v>
      </c>
      <c r="E75" s="10" t="s">
        <v>94</v>
      </c>
      <c r="F75" s="14" t="n">
        <f aca="false">Guidance_Accuracy!G15</f>
        <v>183</v>
      </c>
      <c r="G75" s="12" t="n">
        <v>183</v>
      </c>
      <c r="H75" s="10" t="n">
        <f aca="false">F75-G75</f>
        <v>0</v>
      </c>
      <c r="I75" s="10" t="str">
        <f aca="false">IF(ABS(H75)&lt;=0.000001,"PASS","FAIL")</f>
        <v>PASS</v>
      </c>
      <c r="J75" s="10" t="s">
        <v>1133</v>
      </c>
    </row>
    <row r="76" customFormat="false" ht="15" hidden="false" customHeight="false" outlineLevel="0" collapsed="false">
      <c r="A76" s="10" t="s">
        <v>1241</v>
      </c>
      <c r="B76" s="10" t="s">
        <v>1100</v>
      </c>
      <c r="C76" s="10" t="s">
        <v>1242</v>
      </c>
      <c r="D76" s="10" t="s">
        <v>1136</v>
      </c>
      <c r="E76" s="10" t="s">
        <v>95</v>
      </c>
      <c r="F76" s="22" t="n">
        <f aca="false">Guidance_Accuracy!I15</f>
        <v>189190</v>
      </c>
      <c r="G76" s="12" t="n">
        <v>189190</v>
      </c>
      <c r="H76" s="10" t="n">
        <f aca="false">F76-G76</f>
        <v>0</v>
      </c>
      <c r="I76" s="10" t="str">
        <f aca="false">IF(ABS(H76)&lt;=0.000001,"PASS","FAIL")</f>
        <v>PASS</v>
      </c>
      <c r="J76" s="10" t="s">
        <v>1243</v>
      </c>
    </row>
    <row r="77" customFormat="false" ht="15" hidden="false" customHeight="false" outlineLevel="0" collapsed="false">
      <c r="A77" s="10" t="s">
        <v>1244</v>
      </c>
      <c r="B77" s="10" t="s">
        <v>1101</v>
      </c>
      <c r="C77" s="10" t="s">
        <v>1245</v>
      </c>
      <c r="D77" s="10" t="s">
        <v>1136</v>
      </c>
      <c r="E77" s="10" t="s">
        <v>97</v>
      </c>
      <c r="F77" s="25" t="n">
        <f aca="false">Guidance_Accuracy!S15</f>
        <v>0</v>
      </c>
      <c r="G77" s="12" t="n">
        <v>0</v>
      </c>
      <c r="H77" s="10" t="n">
        <f aca="false">F77-G77</f>
        <v>0</v>
      </c>
      <c r="I77" s="10" t="str">
        <f aca="false">IF(ABS(H77)&lt;=0.000001,"PASS","FAIL")</f>
        <v>PASS</v>
      </c>
      <c r="J77" s="10" t="s">
        <v>1246</v>
      </c>
    </row>
    <row r="78" customFormat="false" ht="15" hidden="false" customHeight="false" outlineLevel="0" collapsed="false">
      <c r="A78" s="10" t="s">
        <v>1247</v>
      </c>
      <c r="B78" s="10" t="s">
        <v>1099</v>
      </c>
      <c r="C78" s="10" t="s">
        <v>1248</v>
      </c>
      <c r="D78" s="10" t="s">
        <v>1124</v>
      </c>
      <c r="E78" s="10" t="s">
        <v>99</v>
      </c>
      <c r="F78" s="24" t="n">
        <f aca="false">Guidance_Accuracy!D16</f>
        <v>45243</v>
      </c>
      <c r="G78" s="11" t="n">
        <v>45243</v>
      </c>
      <c r="H78" s="10" t="n">
        <f aca="false">F78-G78</f>
        <v>0</v>
      </c>
      <c r="I78" s="10" t="str">
        <f aca="false">IF(ABS(H78)&lt;=0.000001,"PASS","FAIL")</f>
        <v>PASS</v>
      </c>
      <c r="J78" s="10" t="s">
        <v>1125</v>
      </c>
    </row>
    <row r="79" customFormat="false" ht="15" hidden="false" customHeight="false" outlineLevel="0" collapsed="false">
      <c r="A79" s="10" t="s">
        <v>1249</v>
      </c>
      <c r="B79" s="10" t="s">
        <v>1099</v>
      </c>
      <c r="C79" s="10" t="s">
        <v>1250</v>
      </c>
      <c r="D79" s="10" t="s">
        <v>1124</v>
      </c>
      <c r="E79" s="10" t="s">
        <v>99</v>
      </c>
      <c r="F79" s="10" t="str">
        <f aca="false">Guidance_Accuracy!E16</f>
        <v>Revenue</v>
      </c>
      <c r="G79" s="12" t="s">
        <v>24</v>
      </c>
      <c r="H79" s="10" t="n">
        <f aca="false">IF(EXACT(F79,G79),0,1)</f>
        <v>0</v>
      </c>
      <c r="I79" s="10" t="str">
        <f aca="false">IF(ABS(H79)&lt;=0.000001,"PASS","FAIL")</f>
        <v>PASS</v>
      </c>
      <c r="J79" s="10" t="s">
        <v>29</v>
      </c>
    </row>
    <row r="80" customFormat="false" ht="15" hidden="false" customHeight="false" outlineLevel="0" collapsed="false">
      <c r="A80" s="10" t="s">
        <v>1251</v>
      </c>
      <c r="B80" s="10" t="s">
        <v>1099</v>
      </c>
      <c r="C80" s="10" t="s">
        <v>1252</v>
      </c>
      <c r="D80" s="10" t="s">
        <v>1124</v>
      </c>
      <c r="E80" s="10" t="s">
        <v>99</v>
      </c>
      <c r="F80" s="14" t="n">
        <f aca="false">Guidance_Accuracy!F16</f>
        <v>196</v>
      </c>
      <c r="G80" s="12" t="n">
        <v>196</v>
      </c>
      <c r="H80" s="10" t="n">
        <f aca="false">F80-G80</f>
        <v>0</v>
      </c>
      <c r="I80" s="10" t="str">
        <f aca="false">IF(ABS(H80)&lt;=0.000001,"PASS","FAIL")</f>
        <v>PASS</v>
      </c>
      <c r="J80" s="10" t="s">
        <v>1130</v>
      </c>
    </row>
    <row r="81" customFormat="false" ht="15" hidden="false" customHeight="false" outlineLevel="0" collapsed="false">
      <c r="A81" s="10" t="s">
        <v>1253</v>
      </c>
      <c r="B81" s="10" t="s">
        <v>1099</v>
      </c>
      <c r="C81" s="10" t="s">
        <v>1254</v>
      </c>
      <c r="D81" s="10" t="s">
        <v>1124</v>
      </c>
      <c r="E81" s="10" t="s">
        <v>99</v>
      </c>
      <c r="F81" s="14" t="n">
        <f aca="false">Guidance_Accuracy!G16</f>
        <v>198</v>
      </c>
      <c r="G81" s="12" t="n">
        <v>198</v>
      </c>
      <c r="H81" s="10" t="n">
        <f aca="false">F81-G81</f>
        <v>0</v>
      </c>
      <c r="I81" s="10" t="str">
        <f aca="false">IF(ABS(H81)&lt;=0.000001,"PASS","FAIL")</f>
        <v>PASS</v>
      </c>
      <c r="J81" s="10" t="s">
        <v>1133</v>
      </c>
    </row>
    <row r="82" customFormat="false" ht="15" hidden="false" customHeight="false" outlineLevel="0" collapsed="false">
      <c r="A82" s="10" t="s">
        <v>1255</v>
      </c>
      <c r="B82" s="10" t="s">
        <v>1100</v>
      </c>
      <c r="C82" s="10" t="s">
        <v>1256</v>
      </c>
      <c r="D82" s="10" t="s">
        <v>1136</v>
      </c>
      <c r="E82" s="10" t="s">
        <v>100</v>
      </c>
      <c r="F82" s="22" t="n">
        <f aca="false">Guidance_Accuracy!I16</f>
        <v>202570</v>
      </c>
      <c r="G82" s="12" t="n">
        <v>202570</v>
      </c>
      <c r="H82" s="10" t="n">
        <f aca="false">F82-G82</f>
        <v>0</v>
      </c>
      <c r="I82" s="10" t="str">
        <f aca="false">IF(ABS(H82)&lt;=0.000001,"PASS","FAIL")</f>
        <v>PASS</v>
      </c>
      <c r="J82" s="10" t="s">
        <v>1257</v>
      </c>
    </row>
    <row r="83" customFormat="false" ht="15" hidden="false" customHeight="false" outlineLevel="0" collapsed="false">
      <c r="A83" s="10" t="s">
        <v>1258</v>
      </c>
      <c r="B83" s="10" t="s">
        <v>1101</v>
      </c>
      <c r="C83" s="10" t="s">
        <v>1259</v>
      </c>
      <c r="D83" s="10" t="s">
        <v>1136</v>
      </c>
      <c r="E83" s="10" t="s">
        <v>102</v>
      </c>
      <c r="F83" s="25" t="n">
        <f aca="false">Guidance_Accuracy!S16</f>
        <v>0</v>
      </c>
      <c r="G83" s="12" t="n">
        <v>0</v>
      </c>
      <c r="H83" s="10" t="n">
        <f aca="false">F83-G83</f>
        <v>0</v>
      </c>
      <c r="I83" s="10" t="str">
        <f aca="false">IF(ABS(H83)&lt;=0.000001,"PASS","FAIL")</f>
        <v>PASS</v>
      </c>
      <c r="J83" s="10" t="s">
        <v>1260</v>
      </c>
    </row>
    <row r="84" customFormat="false" ht="15" hidden="false" customHeight="false" outlineLevel="0" collapsed="false">
      <c r="A84" s="10" t="s">
        <v>1261</v>
      </c>
      <c r="B84" s="10" t="s">
        <v>1099</v>
      </c>
      <c r="C84" s="10" t="s">
        <v>1262</v>
      </c>
      <c r="D84" s="10" t="s">
        <v>1124</v>
      </c>
      <c r="E84" s="10" t="s">
        <v>104</v>
      </c>
      <c r="F84" s="24" t="n">
        <f aca="false">Guidance_Accuracy!D17</f>
        <v>45334</v>
      </c>
      <c r="G84" s="11" t="n">
        <v>45334</v>
      </c>
      <c r="H84" s="10" t="n">
        <f aca="false">F84-G84</f>
        <v>0</v>
      </c>
      <c r="I84" s="10" t="str">
        <f aca="false">IF(ABS(H84)&lt;=0.000001,"PASS","FAIL")</f>
        <v>PASS</v>
      </c>
      <c r="J84" s="10" t="s">
        <v>1125</v>
      </c>
    </row>
    <row r="85" customFormat="false" ht="15" hidden="false" customHeight="false" outlineLevel="0" collapsed="false">
      <c r="A85" s="10" t="s">
        <v>1263</v>
      </c>
      <c r="B85" s="10" t="s">
        <v>1099</v>
      </c>
      <c r="C85" s="10" t="s">
        <v>1264</v>
      </c>
      <c r="D85" s="10" t="s">
        <v>1124</v>
      </c>
      <c r="E85" s="10" t="s">
        <v>104</v>
      </c>
      <c r="F85" s="10" t="str">
        <f aca="false">Guidance_Accuracy!E17</f>
        <v>Revenue</v>
      </c>
      <c r="G85" s="12" t="s">
        <v>24</v>
      </c>
      <c r="H85" s="10" t="n">
        <f aca="false">IF(EXACT(F85,G85),0,1)</f>
        <v>0</v>
      </c>
      <c r="I85" s="10" t="str">
        <f aca="false">IF(ABS(H85)&lt;=0.000001,"PASS","FAIL")</f>
        <v>PASS</v>
      </c>
      <c r="J85" s="10" t="s">
        <v>29</v>
      </c>
    </row>
    <row r="86" customFormat="false" ht="15" hidden="false" customHeight="false" outlineLevel="0" collapsed="false">
      <c r="A86" s="10" t="s">
        <v>1265</v>
      </c>
      <c r="B86" s="10" t="s">
        <v>1099</v>
      </c>
      <c r="C86" s="10" t="s">
        <v>1266</v>
      </c>
      <c r="D86" s="10" t="s">
        <v>1124</v>
      </c>
      <c r="E86" s="10" t="s">
        <v>104</v>
      </c>
      <c r="F86" s="14" t="n">
        <f aca="false">Guidance_Accuracy!F17</f>
        <v>207</v>
      </c>
      <c r="G86" s="12" t="n">
        <v>207</v>
      </c>
      <c r="H86" s="10" t="n">
        <f aca="false">F86-G86</f>
        <v>0</v>
      </c>
      <c r="I86" s="10" t="str">
        <f aca="false">IF(ABS(H86)&lt;=0.000001,"PASS","FAIL")</f>
        <v>PASS</v>
      </c>
      <c r="J86" s="10" t="s">
        <v>1130</v>
      </c>
    </row>
    <row r="87" customFormat="false" ht="15" hidden="false" customHeight="false" outlineLevel="0" collapsed="false">
      <c r="A87" s="10" t="s">
        <v>1267</v>
      </c>
      <c r="B87" s="10" t="s">
        <v>1099</v>
      </c>
      <c r="C87" s="10" t="s">
        <v>1268</v>
      </c>
      <c r="D87" s="10" t="s">
        <v>1124</v>
      </c>
      <c r="E87" s="10" t="s">
        <v>104</v>
      </c>
      <c r="F87" s="14" t="n">
        <f aca="false">Guidance_Accuracy!G17</f>
        <v>211</v>
      </c>
      <c r="G87" s="12" t="n">
        <v>211</v>
      </c>
      <c r="H87" s="10" t="n">
        <f aca="false">F87-G87</f>
        <v>0</v>
      </c>
      <c r="I87" s="10" t="str">
        <f aca="false">IF(ABS(H87)&lt;=0.000001,"PASS","FAIL")</f>
        <v>PASS</v>
      </c>
      <c r="J87" s="10" t="s">
        <v>1133</v>
      </c>
    </row>
    <row r="88" customFormat="false" ht="15" hidden="false" customHeight="false" outlineLevel="0" collapsed="false">
      <c r="A88" s="10" t="s">
        <v>1269</v>
      </c>
      <c r="B88" s="10" t="s">
        <v>1100</v>
      </c>
      <c r="C88" s="10" t="s">
        <v>1270</v>
      </c>
      <c r="D88" s="10" t="s">
        <v>1136</v>
      </c>
      <c r="E88" s="10" t="s">
        <v>105</v>
      </c>
      <c r="F88" s="22" t="n">
        <f aca="false">Guidance_Accuracy!I17</f>
        <v>216913</v>
      </c>
      <c r="G88" s="12" t="n">
        <v>216913</v>
      </c>
      <c r="H88" s="10" t="n">
        <f aca="false">F88-G88</f>
        <v>0</v>
      </c>
      <c r="I88" s="10" t="str">
        <f aca="false">IF(ABS(H88)&lt;=0.000001,"PASS","FAIL")</f>
        <v>PASS</v>
      </c>
      <c r="J88" s="10" t="s">
        <v>1271</v>
      </c>
    </row>
    <row r="89" customFormat="false" ht="15" hidden="false" customHeight="false" outlineLevel="0" collapsed="false">
      <c r="A89" s="10" t="s">
        <v>1272</v>
      </c>
      <c r="B89" s="10" t="s">
        <v>1101</v>
      </c>
      <c r="C89" s="10" t="s">
        <v>1273</v>
      </c>
      <c r="D89" s="10" t="s">
        <v>1136</v>
      </c>
      <c r="E89" s="10" t="s">
        <v>107</v>
      </c>
      <c r="F89" s="25" t="n">
        <f aca="false">Guidance_Accuracy!S17</f>
        <v>0</v>
      </c>
      <c r="G89" s="12" t="n">
        <v>0</v>
      </c>
      <c r="H89" s="10" t="n">
        <f aca="false">F89-G89</f>
        <v>0</v>
      </c>
      <c r="I89" s="10" t="str">
        <f aca="false">IF(ABS(H89)&lt;=0.000001,"PASS","FAIL")</f>
        <v>PASS</v>
      </c>
      <c r="J89" s="10" t="s">
        <v>1274</v>
      </c>
    </row>
    <row r="90" customFormat="false" ht="15" hidden="false" customHeight="false" outlineLevel="0" collapsed="false">
      <c r="A90" s="10" t="s">
        <v>1275</v>
      </c>
      <c r="B90" s="10" t="s">
        <v>1099</v>
      </c>
      <c r="C90" s="10" t="s">
        <v>1276</v>
      </c>
      <c r="D90" s="10" t="s">
        <v>1124</v>
      </c>
      <c r="E90" s="10" t="s">
        <v>109</v>
      </c>
      <c r="F90" s="24" t="n">
        <f aca="false">Guidance_Accuracy!D18</f>
        <v>45427</v>
      </c>
      <c r="G90" s="11" t="n">
        <v>45427</v>
      </c>
      <c r="H90" s="10" t="n">
        <f aca="false">F90-G90</f>
        <v>0</v>
      </c>
      <c r="I90" s="10" t="str">
        <f aca="false">IF(ABS(H90)&lt;=0.000001,"PASS","FAIL")</f>
        <v>PASS</v>
      </c>
      <c r="J90" s="10" t="s">
        <v>1125</v>
      </c>
    </row>
    <row r="91" customFormat="false" ht="15" hidden="false" customHeight="false" outlineLevel="0" collapsed="false">
      <c r="A91" s="10" t="s">
        <v>1277</v>
      </c>
      <c r="B91" s="10" t="s">
        <v>1099</v>
      </c>
      <c r="C91" s="10" t="s">
        <v>1278</v>
      </c>
      <c r="D91" s="10" t="s">
        <v>1124</v>
      </c>
      <c r="E91" s="10" t="s">
        <v>109</v>
      </c>
      <c r="F91" s="10" t="str">
        <f aca="false">Guidance_Accuracy!E18</f>
        <v>Revenue</v>
      </c>
      <c r="G91" s="12" t="s">
        <v>24</v>
      </c>
      <c r="H91" s="10" t="n">
        <f aca="false">IF(EXACT(F91,G91),0,1)</f>
        <v>0</v>
      </c>
      <c r="I91" s="10" t="str">
        <f aca="false">IF(ABS(H91)&lt;=0.000001,"PASS","FAIL")</f>
        <v>PASS</v>
      </c>
      <c r="J91" s="10" t="s">
        <v>29</v>
      </c>
    </row>
    <row r="92" customFormat="false" ht="15" hidden="false" customHeight="false" outlineLevel="0" collapsed="false">
      <c r="A92" s="10" t="s">
        <v>1279</v>
      </c>
      <c r="B92" s="10" t="s">
        <v>1099</v>
      </c>
      <c r="C92" s="10" t="s">
        <v>1280</v>
      </c>
      <c r="D92" s="10" t="s">
        <v>1124</v>
      </c>
      <c r="E92" s="10" t="s">
        <v>109</v>
      </c>
      <c r="F92" s="14" t="n">
        <f aca="false">Guidance_Accuracy!F18</f>
        <v>226</v>
      </c>
      <c r="G92" s="12" t="n">
        <v>226</v>
      </c>
      <c r="H92" s="10" t="n">
        <f aca="false">F92-G92</f>
        <v>0</v>
      </c>
      <c r="I92" s="10" t="str">
        <f aca="false">IF(ABS(H92)&lt;=0.000001,"PASS","FAIL")</f>
        <v>PASS</v>
      </c>
      <c r="J92" s="10" t="s">
        <v>1130</v>
      </c>
    </row>
    <row r="93" customFormat="false" ht="15" hidden="false" customHeight="false" outlineLevel="0" collapsed="false">
      <c r="A93" s="10" t="s">
        <v>1281</v>
      </c>
      <c r="B93" s="10" t="s">
        <v>1099</v>
      </c>
      <c r="C93" s="10" t="s">
        <v>1282</v>
      </c>
      <c r="D93" s="10" t="s">
        <v>1124</v>
      </c>
      <c r="E93" s="10" t="s">
        <v>109</v>
      </c>
      <c r="F93" s="14" t="n">
        <f aca="false">Guidance_Accuracy!G18</f>
        <v>230</v>
      </c>
      <c r="G93" s="12" t="n">
        <v>230</v>
      </c>
      <c r="H93" s="10" t="n">
        <f aca="false">F93-G93</f>
        <v>0</v>
      </c>
      <c r="I93" s="10" t="str">
        <f aca="false">IF(ABS(H93)&lt;=0.000001,"PASS","FAIL")</f>
        <v>PASS</v>
      </c>
      <c r="J93" s="10" t="s">
        <v>1133</v>
      </c>
    </row>
    <row r="94" customFormat="false" ht="15" hidden="false" customHeight="false" outlineLevel="0" collapsed="false">
      <c r="A94" s="10" t="s">
        <v>1283</v>
      </c>
      <c r="B94" s="10" t="s">
        <v>1100</v>
      </c>
      <c r="C94" s="10" t="s">
        <v>1284</v>
      </c>
      <c r="D94" s="10" t="s">
        <v>1136</v>
      </c>
      <c r="E94" s="10" t="s">
        <v>110</v>
      </c>
      <c r="F94" s="22" t="n">
        <f aca="false">Guidance_Accuracy!I18</f>
        <v>236106</v>
      </c>
      <c r="G94" s="12" t="n">
        <v>236106</v>
      </c>
      <c r="H94" s="10" t="n">
        <f aca="false">F94-G94</f>
        <v>0</v>
      </c>
      <c r="I94" s="10" t="str">
        <f aca="false">IF(ABS(H94)&lt;=0.000001,"PASS","FAIL")</f>
        <v>PASS</v>
      </c>
      <c r="J94" s="10" t="s">
        <v>1285</v>
      </c>
    </row>
    <row r="95" customFormat="false" ht="15" hidden="false" customHeight="false" outlineLevel="0" collapsed="false">
      <c r="A95" s="10" t="s">
        <v>1286</v>
      </c>
      <c r="B95" s="10" t="s">
        <v>1101</v>
      </c>
      <c r="C95" s="10" t="s">
        <v>1287</v>
      </c>
      <c r="D95" s="10" t="s">
        <v>1136</v>
      </c>
      <c r="E95" s="10" t="s">
        <v>112</v>
      </c>
      <c r="F95" s="25" t="n">
        <f aca="false">Guidance_Accuracy!S18</f>
        <v>0</v>
      </c>
      <c r="G95" s="12" t="n">
        <v>0</v>
      </c>
      <c r="H95" s="10" t="n">
        <f aca="false">F95-G95</f>
        <v>0</v>
      </c>
      <c r="I95" s="10" t="str">
        <f aca="false">IF(ABS(H95)&lt;=0.000001,"PASS","FAIL")</f>
        <v>PASS</v>
      </c>
      <c r="J95" s="10" t="s">
        <v>1288</v>
      </c>
    </row>
    <row r="96" customFormat="false" ht="15" hidden="false" customHeight="false" outlineLevel="0" collapsed="false">
      <c r="A96" s="10" t="s">
        <v>1289</v>
      </c>
      <c r="B96" s="10" t="s">
        <v>1099</v>
      </c>
      <c r="C96" s="10" t="s">
        <v>1290</v>
      </c>
      <c r="D96" s="10" t="s">
        <v>1124</v>
      </c>
      <c r="E96" s="10" t="s">
        <v>114</v>
      </c>
      <c r="F96" s="24" t="n">
        <f aca="false">Guidance_Accuracy!D19</f>
        <v>45516</v>
      </c>
      <c r="G96" s="11" t="n">
        <v>45516</v>
      </c>
      <c r="H96" s="10" t="n">
        <f aca="false">F96-G96</f>
        <v>0</v>
      </c>
      <c r="I96" s="10" t="str">
        <f aca="false">IF(ABS(H96)&lt;=0.000001,"PASS","FAIL")</f>
        <v>PASS</v>
      </c>
      <c r="J96" s="10" t="s">
        <v>1125</v>
      </c>
    </row>
    <row r="97" customFormat="false" ht="15" hidden="false" customHeight="false" outlineLevel="0" collapsed="false">
      <c r="A97" s="10" t="s">
        <v>1291</v>
      </c>
      <c r="B97" s="10" t="s">
        <v>1099</v>
      </c>
      <c r="C97" s="10" t="s">
        <v>1292</v>
      </c>
      <c r="D97" s="10" t="s">
        <v>1124</v>
      </c>
      <c r="E97" s="10" t="s">
        <v>114</v>
      </c>
      <c r="F97" s="10" t="str">
        <f aca="false">Guidance_Accuracy!E19</f>
        <v>Revenue</v>
      </c>
      <c r="G97" s="12" t="s">
        <v>24</v>
      </c>
      <c r="H97" s="10" t="n">
        <f aca="false">IF(EXACT(F97,G97),0,1)</f>
        <v>0</v>
      </c>
      <c r="I97" s="10" t="str">
        <f aca="false">IF(ABS(H97)&lt;=0.000001,"PASS","FAIL")</f>
        <v>PASS</v>
      </c>
      <c r="J97" s="10" t="s">
        <v>29</v>
      </c>
    </row>
    <row r="98" customFormat="false" ht="15" hidden="false" customHeight="false" outlineLevel="0" collapsed="false">
      <c r="A98" s="10" t="s">
        <v>1293</v>
      </c>
      <c r="B98" s="10" t="s">
        <v>1099</v>
      </c>
      <c r="C98" s="10" t="s">
        <v>1294</v>
      </c>
      <c r="D98" s="10" t="s">
        <v>1124</v>
      </c>
      <c r="E98" s="10" t="s">
        <v>114</v>
      </c>
      <c r="F98" s="14" t="n">
        <f aca="false">Guidance_Accuracy!F19</f>
        <v>243</v>
      </c>
      <c r="G98" s="12" t="n">
        <v>243</v>
      </c>
      <c r="H98" s="10" t="n">
        <f aca="false">F98-G98</f>
        <v>0</v>
      </c>
      <c r="I98" s="10" t="str">
        <f aca="false">IF(ABS(H98)&lt;=0.000001,"PASS","FAIL")</f>
        <v>PASS</v>
      </c>
      <c r="J98" s="10" t="s">
        <v>1130</v>
      </c>
    </row>
    <row r="99" customFormat="false" ht="15" hidden="false" customHeight="false" outlineLevel="0" collapsed="false">
      <c r="A99" s="10" t="s">
        <v>1295</v>
      </c>
      <c r="B99" s="10" t="s">
        <v>1099</v>
      </c>
      <c r="C99" s="10" t="s">
        <v>1296</v>
      </c>
      <c r="D99" s="10" t="s">
        <v>1124</v>
      </c>
      <c r="E99" s="10" t="s">
        <v>114</v>
      </c>
      <c r="F99" s="14" t="n">
        <f aca="false">Guidance_Accuracy!G19</f>
        <v>247</v>
      </c>
      <c r="G99" s="12" t="n">
        <v>247</v>
      </c>
      <c r="H99" s="10" t="n">
        <f aca="false">F99-G99</f>
        <v>0</v>
      </c>
      <c r="I99" s="10" t="str">
        <f aca="false">IF(ABS(H99)&lt;=0.000001,"PASS","FAIL")</f>
        <v>PASS</v>
      </c>
      <c r="J99" s="10" t="s">
        <v>1133</v>
      </c>
    </row>
    <row r="100" customFormat="false" ht="15" hidden="false" customHeight="false" outlineLevel="0" collapsed="false">
      <c r="A100" s="10" t="s">
        <v>1297</v>
      </c>
      <c r="B100" s="10" t="s">
        <v>1100</v>
      </c>
      <c r="C100" s="10" t="s">
        <v>1298</v>
      </c>
      <c r="D100" s="10" t="s">
        <v>1136</v>
      </c>
      <c r="E100" s="10" t="s">
        <v>115</v>
      </c>
      <c r="F100" s="22" t="n">
        <f aca="false">Guidance_Accuracy!I19</f>
        <v>251000</v>
      </c>
      <c r="G100" s="12" t="n">
        <v>251000</v>
      </c>
      <c r="H100" s="10" t="n">
        <f aca="false">F100-G100</f>
        <v>0</v>
      </c>
      <c r="I100" s="10" t="str">
        <f aca="false">IF(ABS(H100)&lt;=0.000001,"PASS","FAIL")</f>
        <v>PASS</v>
      </c>
      <c r="J100" s="10" t="s">
        <v>1299</v>
      </c>
    </row>
    <row r="101" customFormat="false" ht="15" hidden="false" customHeight="false" outlineLevel="0" collapsed="false">
      <c r="A101" s="10" t="s">
        <v>1300</v>
      </c>
      <c r="B101" s="10" t="s">
        <v>1099</v>
      </c>
      <c r="C101" s="10" t="s">
        <v>1301</v>
      </c>
      <c r="D101" s="10" t="s">
        <v>1124</v>
      </c>
      <c r="E101" s="10" t="s">
        <v>118</v>
      </c>
      <c r="F101" s="24" t="n">
        <f aca="false">Guidance_Accuracy!D20</f>
        <v>45608</v>
      </c>
      <c r="G101" s="11" t="n">
        <v>45608</v>
      </c>
      <c r="H101" s="10" t="n">
        <f aca="false">F101-G101</f>
        <v>0</v>
      </c>
      <c r="I101" s="10" t="str">
        <f aca="false">IF(ABS(H101)&lt;=0.000001,"PASS","FAIL")</f>
        <v>PASS</v>
      </c>
      <c r="J101" s="10" t="s">
        <v>1125</v>
      </c>
    </row>
    <row r="102" customFormat="false" ht="15" hidden="false" customHeight="false" outlineLevel="0" collapsed="false">
      <c r="A102" s="10" t="s">
        <v>1302</v>
      </c>
      <c r="B102" s="10" t="s">
        <v>1099</v>
      </c>
      <c r="C102" s="10" t="s">
        <v>1303</v>
      </c>
      <c r="D102" s="10" t="s">
        <v>1124</v>
      </c>
      <c r="E102" s="10" t="s">
        <v>118</v>
      </c>
      <c r="F102" s="10" t="str">
        <f aca="false">Guidance_Accuracy!E20</f>
        <v>Revenue</v>
      </c>
      <c r="G102" s="12" t="s">
        <v>24</v>
      </c>
      <c r="H102" s="10" t="n">
        <f aca="false">IF(EXACT(F102,G102),0,1)</f>
        <v>0</v>
      </c>
      <c r="I102" s="10" t="str">
        <f aca="false">IF(ABS(H102)&lt;=0.000001,"PASS","FAIL")</f>
        <v>PASS</v>
      </c>
      <c r="J102" s="10" t="s">
        <v>29</v>
      </c>
    </row>
    <row r="103" customFormat="false" ht="15" hidden="false" customHeight="false" outlineLevel="0" collapsed="false">
      <c r="A103" s="10" t="s">
        <v>1304</v>
      </c>
      <c r="B103" s="10" t="s">
        <v>1099</v>
      </c>
      <c r="C103" s="10" t="s">
        <v>1305</v>
      </c>
      <c r="D103" s="10" t="s">
        <v>1124</v>
      </c>
      <c r="E103" s="10" t="s">
        <v>118</v>
      </c>
      <c r="F103" s="14" t="n">
        <f aca="false">Guidance_Accuracy!F20</f>
        <v>260</v>
      </c>
      <c r="G103" s="12" t="n">
        <v>260</v>
      </c>
      <c r="H103" s="10" t="n">
        <f aca="false">F103-G103</f>
        <v>0</v>
      </c>
      <c r="I103" s="10" t="str">
        <f aca="false">IF(ABS(H103)&lt;=0.000001,"PASS","FAIL")</f>
        <v>PASS</v>
      </c>
      <c r="J103" s="10" t="s">
        <v>1130</v>
      </c>
    </row>
    <row r="104" customFormat="false" ht="15" hidden="false" customHeight="false" outlineLevel="0" collapsed="false">
      <c r="A104" s="10" t="s">
        <v>1306</v>
      </c>
      <c r="B104" s="10" t="s">
        <v>1099</v>
      </c>
      <c r="C104" s="10" t="s">
        <v>1307</v>
      </c>
      <c r="D104" s="10" t="s">
        <v>1124</v>
      </c>
      <c r="E104" s="10" t="s">
        <v>118</v>
      </c>
      <c r="F104" s="14" t="n">
        <f aca="false">Guidance_Accuracy!G20</f>
        <v>262</v>
      </c>
      <c r="G104" s="12" t="n">
        <v>262</v>
      </c>
      <c r="H104" s="10" t="n">
        <f aca="false">F104-G104</f>
        <v>0</v>
      </c>
      <c r="I104" s="10" t="str">
        <f aca="false">IF(ABS(H104)&lt;=0.000001,"PASS","FAIL")</f>
        <v>PASS</v>
      </c>
      <c r="J104" s="10" t="s">
        <v>1133</v>
      </c>
    </row>
    <row r="105" customFormat="false" ht="15" hidden="false" customHeight="false" outlineLevel="0" collapsed="false">
      <c r="A105" s="10" t="s">
        <v>1308</v>
      </c>
      <c r="B105" s="10" t="s">
        <v>1100</v>
      </c>
      <c r="C105" s="10" t="s">
        <v>1309</v>
      </c>
      <c r="D105" s="10" t="s">
        <v>1136</v>
      </c>
      <c r="E105" s="10" t="s">
        <v>119</v>
      </c>
      <c r="F105" s="22" t="n">
        <f aca="false">Guidance_Accuracy!I20</f>
        <v>267976</v>
      </c>
      <c r="G105" s="12" t="n">
        <v>267976</v>
      </c>
      <c r="H105" s="10" t="n">
        <f aca="false">F105-G105</f>
        <v>0</v>
      </c>
      <c r="I105" s="10" t="str">
        <f aca="false">IF(ABS(H105)&lt;=0.000001,"PASS","FAIL")</f>
        <v>PASS</v>
      </c>
      <c r="J105" s="10" t="s">
        <v>1310</v>
      </c>
    </row>
    <row r="106" customFormat="false" ht="15" hidden="false" customHeight="false" outlineLevel="0" collapsed="false">
      <c r="A106" s="10" t="s">
        <v>1311</v>
      </c>
      <c r="B106" s="10" t="s">
        <v>1099</v>
      </c>
      <c r="C106" s="10" t="s">
        <v>1312</v>
      </c>
      <c r="D106" s="10" t="s">
        <v>1124</v>
      </c>
      <c r="E106" s="10" t="s">
        <v>122</v>
      </c>
      <c r="F106" s="24" t="n">
        <f aca="false">Guidance_Accuracy!D21</f>
        <v>45698</v>
      </c>
      <c r="G106" s="11" t="n">
        <v>45698</v>
      </c>
      <c r="H106" s="10" t="n">
        <f aca="false">F106-G106</f>
        <v>0</v>
      </c>
      <c r="I106" s="10" t="str">
        <f aca="false">IF(ABS(H106)&lt;=0.000001,"PASS","FAIL")</f>
        <v>PASS</v>
      </c>
      <c r="J106" s="10" t="s">
        <v>1125</v>
      </c>
    </row>
    <row r="107" customFormat="false" ht="15" hidden="false" customHeight="false" outlineLevel="0" collapsed="false">
      <c r="A107" s="10" t="s">
        <v>1313</v>
      </c>
      <c r="B107" s="10" t="s">
        <v>1099</v>
      </c>
      <c r="C107" s="10" t="s">
        <v>1314</v>
      </c>
      <c r="D107" s="10" t="s">
        <v>1124</v>
      </c>
      <c r="E107" s="10" t="s">
        <v>122</v>
      </c>
      <c r="F107" s="10" t="str">
        <f aca="false">Guidance_Accuracy!E21</f>
        <v>Revenue</v>
      </c>
      <c r="G107" s="12" t="s">
        <v>24</v>
      </c>
      <c r="H107" s="10" t="n">
        <f aca="false">IF(EXACT(F107,G107),0,1)</f>
        <v>0</v>
      </c>
      <c r="I107" s="10" t="str">
        <f aca="false">IF(ABS(H107)&lt;=0.000001,"PASS","FAIL")</f>
        <v>PASS</v>
      </c>
      <c r="J107" s="10" t="s">
        <v>29</v>
      </c>
    </row>
    <row r="108" customFormat="false" ht="15" hidden="false" customHeight="false" outlineLevel="0" collapsed="false">
      <c r="A108" s="10" t="s">
        <v>1315</v>
      </c>
      <c r="B108" s="10" t="s">
        <v>1099</v>
      </c>
      <c r="C108" s="10" t="s">
        <v>1316</v>
      </c>
      <c r="D108" s="10" t="s">
        <v>1124</v>
      </c>
      <c r="E108" s="10" t="s">
        <v>122</v>
      </c>
      <c r="F108" s="14" t="n">
        <f aca="false">Guidance_Accuracy!F21</f>
        <v>274</v>
      </c>
      <c r="G108" s="12" t="n">
        <v>274</v>
      </c>
      <c r="H108" s="10" t="n">
        <f aca="false">F108-G108</f>
        <v>0</v>
      </c>
      <c r="I108" s="10" t="str">
        <f aca="false">IF(ABS(H108)&lt;=0.000001,"PASS","FAIL")</f>
        <v>PASS</v>
      </c>
      <c r="J108" s="10" t="s">
        <v>1130</v>
      </c>
    </row>
    <row r="109" customFormat="false" ht="15" hidden="false" customHeight="false" outlineLevel="0" collapsed="false">
      <c r="A109" s="10" t="s">
        <v>1317</v>
      </c>
      <c r="B109" s="10" t="s">
        <v>1099</v>
      </c>
      <c r="C109" s="10" t="s">
        <v>1318</v>
      </c>
      <c r="D109" s="10" t="s">
        <v>1124</v>
      </c>
      <c r="E109" s="10" t="s">
        <v>122</v>
      </c>
      <c r="F109" s="14" t="n">
        <f aca="false">Guidance_Accuracy!G21</f>
        <v>276</v>
      </c>
      <c r="G109" s="12" t="n">
        <v>276</v>
      </c>
      <c r="H109" s="10" t="n">
        <f aca="false">F109-G109</f>
        <v>0</v>
      </c>
      <c r="I109" s="10" t="str">
        <f aca="false">IF(ABS(H109)&lt;=0.000001,"PASS","FAIL")</f>
        <v>PASS</v>
      </c>
      <c r="J109" s="10" t="s">
        <v>1133</v>
      </c>
    </row>
    <row r="110" customFormat="false" ht="15" hidden="false" customHeight="false" outlineLevel="0" collapsed="false">
      <c r="A110" s="10" t="s">
        <v>1319</v>
      </c>
      <c r="B110" s="10" t="s">
        <v>1100</v>
      </c>
      <c r="C110" s="10" t="s">
        <v>1320</v>
      </c>
      <c r="D110" s="10" t="s">
        <v>1136</v>
      </c>
      <c r="E110" s="10" t="s">
        <v>123</v>
      </c>
      <c r="F110" s="22" t="n">
        <f aca="false">Guidance_Accuracy!I21</f>
        <v>282250</v>
      </c>
      <c r="G110" s="12" t="n">
        <v>282250</v>
      </c>
      <c r="H110" s="10" t="n">
        <f aca="false">F110-G110</f>
        <v>0</v>
      </c>
      <c r="I110" s="10" t="str">
        <f aca="false">IF(ABS(H110)&lt;=0.000001,"PASS","FAIL")</f>
        <v>PASS</v>
      </c>
      <c r="J110" s="10" t="s">
        <v>1321</v>
      </c>
    </row>
    <row r="111" customFormat="false" ht="15" hidden="false" customHeight="false" outlineLevel="0" collapsed="false">
      <c r="A111" s="10" t="s">
        <v>1322</v>
      </c>
      <c r="B111" s="10" t="s">
        <v>1099</v>
      </c>
      <c r="C111" s="10" t="s">
        <v>1323</v>
      </c>
      <c r="D111" s="10" t="s">
        <v>1124</v>
      </c>
      <c r="E111" s="10" t="s">
        <v>126</v>
      </c>
      <c r="F111" s="24" t="n">
        <f aca="false">Guidance_Accuracy!D22</f>
        <v>45789</v>
      </c>
      <c r="G111" s="11" t="n">
        <v>45789</v>
      </c>
      <c r="H111" s="10" t="n">
        <f aca="false">F111-G111</f>
        <v>0</v>
      </c>
      <c r="I111" s="10" t="str">
        <f aca="false">IF(ABS(H111)&lt;=0.000001,"PASS","FAIL")</f>
        <v>PASS</v>
      </c>
      <c r="J111" s="10" t="s">
        <v>1125</v>
      </c>
    </row>
    <row r="112" customFormat="false" ht="15" hidden="false" customHeight="false" outlineLevel="0" collapsed="false">
      <c r="A112" s="10" t="s">
        <v>1324</v>
      </c>
      <c r="B112" s="10" t="s">
        <v>1099</v>
      </c>
      <c r="C112" s="10" t="s">
        <v>1325</v>
      </c>
      <c r="D112" s="10" t="s">
        <v>1124</v>
      </c>
      <c r="E112" s="10" t="s">
        <v>126</v>
      </c>
      <c r="F112" s="10" t="str">
        <f aca="false">Guidance_Accuracy!E22</f>
        <v>Revenue</v>
      </c>
      <c r="G112" s="12" t="s">
        <v>24</v>
      </c>
      <c r="H112" s="10" t="n">
        <f aca="false">IF(EXACT(F112,G112),0,1)</f>
        <v>0</v>
      </c>
      <c r="I112" s="10" t="str">
        <f aca="false">IF(ABS(H112)&lt;=0.000001,"PASS","FAIL")</f>
        <v>PASS</v>
      </c>
      <c r="J112" s="10" t="s">
        <v>29</v>
      </c>
    </row>
    <row r="113" customFormat="false" ht="15" hidden="false" customHeight="false" outlineLevel="0" collapsed="false">
      <c r="A113" s="10" t="s">
        <v>1326</v>
      </c>
      <c r="B113" s="10" t="s">
        <v>1099</v>
      </c>
      <c r="C113" s="10" t="s">
        <v>1327</v>
      </c>
      <c r="D113" s="10" t="s">
        <v>1124</v>
      </c>
      <c r="E113" s="10" t="s">
        <v>126</v>
      </c>
      <c r="F113" s="14" t="n">
        <f aca="false">Guidance_Accuracy!F22</f>
        <v>292</v>
      </c>
      <c r="G113" s="12" t="n">
        <v>292</v>
      </c>
      <c r="H113" s="10" t="n">
        <f aca="false">F113-G113</f>
        <v>0</v>
      </c>
      <c r="I113" s="10" t="str">
        <f aca="false">IF(ABS(H113)&lt;=0.000001,"PASS","FAIL")</f>
        <v>PASS</v>
      </c>
      <c r="J113" s="10" t="s">
        <v>1130</v>
      </c>
    </row>
    <row r="114" customFormat="false" ht="15" hidden="false" customHeight="false" outlineLevel="0" collapsed="false">
      <c r="A114" s="10" t="s">
        <v>1328</v>
      </c>
      <c r="B114" s="10" t="s">
        <v>1099</v>
      </c>
      <c r="C114" s="10" t="s">
        <v>1329</v>
      </c>
      <c r="D114" s="10" t="s">
        <v>1124</v>
      </c>
      <c r="E114" s="10" t="s">
        <v>126</v>
      </c>
      <c r="F114" s="14" t="n">
        <f aca="false">Guidance_Accuracy!G22</f>
        <v>294</v>
      </c>
      <c r="G114" s="12" t="n">
        <v>294</v>
      </c>
      <c r="H114" s="10" t="n">
        <f aca="false">F114-G114</f>
        <v>0</v>
      </c>
      <c r="I114" s="10" t="str">
        <f aca="false">IF(ABS(H114)&lt;=0.000001,"PASS","FAIL")</f>
        <v>PASS</v>
      </c>
      <c r="J114" s="10" t="s">
        <v>1133</v>
      </c>
    </row>
    <row r="115" customFormat="false" ht="15" hidden="false" customHeight="false" outlineLevel="0" collapsed="false">
      <c r="A115" s="10" t="s">
        <v>1330</v>
      </c>
      <c r="B115" s="10" t="s">
        <v>1100</v>
      </c>
      <c r="C115" s="10" t="s">
        <v>1331</v>
      </c>
      <c r="D115" s="10" t="s">
        <v>1136</v>
      </c>
      <c r="E115" s="10" t="s">
        <v>127</v>
      </c>
      <c r="F115" s="22" t="n">
        <f aca="false">Guidance_Accuracy!I22</f>
        <v>299014</v>
      </c>
      <c r="G115" s="12" t="n">
        <v>299014</v>
      </c>
      <c r="H115" s="10" t="n">
        <f aca="false">F115-G115</f>
        <v>0</v>
      </c>
      <c r="I115" s="10" t="str">
        <f aca="false">IF(ABS(H115)&lt;=0.000001,"PASS","FAIL")</f>
        <v>PASS</v>
      </c>
      <c r="J115" s="10" t="s">
        <v>1332</v>
      </c>
    </row>
    <row r="116" customFormat="false" ht="15" hidden="false" customHeight="false" outlineLevel="0" collapsed="false">
      <c r="A116" s="10" t="s">
        <v>1333</v>
      </c>
      <c r="B116" s="10" t="s">
        <v>1099</v>
      </c>
      <c r="C116" s="10" t="s">
        <v>1334</v>
      </c>
      <c r="D116" s="10" t="s">
        <v>1124</v>
      </c>
      <c r="E116" s="10" t="s">
        <v>130</v>
      </c>
      <c r="F116" s="24" t="n">
        <f aca="false">Guidance_Accuracy!D23</f>
        <v>45880</v>
      </c>
      <c r="G116" s="11" t="n">
        <v>45880</v>
      </c>
      <c r="H116" s="10" t="n">
        <f aca="false">F116-G116</f>
        <v>0</v>
      </c>
      <c r="I116" s="10" t="str">
        <f aca="false">IF(ABS(H116)&lt;=0.000001,"PASS","FAIL")</f>
        <v>PASS</v>
      </c>
      <c r="J116" s="10" t="s">
        <v>1125</v>
      </c>
    </row>
    <row r="117" customFormat="false" ht="15" hidden="false" customHeight="false" outlineLevel="0" collapsed="false">
      <c r="A117" s="10" t="s">
        <v>1335</v>
      </c>
      <c r="B117" s="10" t="s">
        <v>1099</v>
      </c>
      <c r="C117" s="10" t="s">
        <v>1336</v>
      </c>
      <c r="D117" s="10" t="s">
        <v>1124</v>
      </c>
      <c r="E117" s="10" t="s">
        <v>130</v>
      </c>
      <c r="F117" s="10" t="str">
        <f aca="false">Guidance_Accuracy!E23</f>
        <v>Revenue</v>
      </c>
      <c r="G117" s="12" t="s">
        <v>24</v>
      </c>
      <c r="H117" s="10" t="n">
        <f aca="false">IF(EXACT(F117,G117),0,1)</f>
        <v>0</v>
      </c>
      <c r="I117" s="10" t="str">
        <f aca="false">IF(ABS(H117)&lt;=0.000001,"PASS","FAIL")</f>
        <v>PASS</v>
      </c>
      <c r="J117" s="10" t="s">
        <v>29</v>
      </c>
    </row>
    <row r="118" customFormat="false" ht="15" hidden="false" customHeight="false" outlineLevel="0" collapsed="false">
      <c r="A118" s="10" t="s">
        <v>1337</v>
      </c>
      <c r="B118" s="10" t="s">
        <v>1099</v>
      </c>
      <c r="C118" s="10" t="s">
        <v>1338</v>
      </c>
      <c r="D118" s="10" t="s">
        <v>1124</v>
      </c>
      <c r="E118" s="10" t="s">
        <v>130</v>
      </c>
      <c r="F118" s="14" t="n">
        <f aca="false">Guidance_Accuracy!F23</f>
        <v>311</v>
      </c>
      <c r="G118" s="12" t="n">
        <v>311</v>
      </c>
      <c r="H118" s="10" t="n">
        <f aca="false">F118-G118</f>
        <v>0</v>
      </c>
      <c r="I118" s="10" t="str">
        <f aca="false">IF(ABS(H118)&lt;=0.000001,"PASS","FAIL")</f>
        <v>PASS</v>
      </c>
      <c r="J118" s="10" t="s">
        <v>1130</v>
      </c>
    </row>
    <row r="119" customFormat="false" ht="15" hidden="false" customHeight="false" outlineLevel="0" collapsed="false">
      <c r="A119" s="10" t="s">
        <v>1339</v>
      </c>
      <c r="B119" s="10" t="s">
        <v>1099</v>
      </c>
      <c r="C119" s="10" t="s">
        <v>1340</v>
      </c>
      <c r="D119" s="10" t="s">
        <v>1124</v>
      </c>
      <c r="E119" s="10" t="s">
        <v>130</v>
      </c>
      <c r="F119" s="14" t="n">
        <f aca="false">Guidance_Accuracy!G23</f>
        <v>313</v>
      </c>
      <c r="G119" s="12" t="n">
        <v>313</v>
      </c>
      <c r="H119" s="10" t="n">
        <f aca="false">F119-G119</f>
        <v>0</v>
      </c>
      <c r="I119" s="10" t="str">
        <f aca="false">IF(ABS(H119)&lt;=0.000001,"PASS","FAIL")</f>
        <v>PASS</v>
      </c>
      <c r="J119" s="10" t="s">
        <v>1133</v>
      </c>
    </row>
    <row r="120" customFormat="false" ht="15" hidden="false" customHeight="false" outlineLevel="0" collapsed="false">
      <c r="A120" s="10" t="s">
        <v>1341</v>
      </c>
      <c r="B120" s="10" t="s">
        <v>1100</v>
      </c>
      <c r="C120" s="10" t="s">
        <v>1342</v>
      </c>
      <c r="D120" s="10" t="s">
        <v>1136</v>
      </c>
      <c r="E120" s="10" t="s">
        <v>131</v>
      </c>
      <c r="F120" s="22" t="n">
        <f aca="false">Guidance_Accuracy!I23</f>
        <v>316855</v>
      </c>
      <c r="G120" s="12" t="n">
        <v>316855</v>
      </c>
      <c r="H120" s="10" t="n">
        <f aca="false">F120-G120</f>
        <v>0</v>
      </c>
      <c r="I120" s="10" t="str">
        <f aca="false">IF(ABS(H120)&lt;=0.000001,"PASS","FAIL")</f>
        <v>PASS</v>
      </c>
      <c r="J120" s="10" t="s">
        <v>1343</v>
      </c>
    </row>
    <row r="121" customFormat="false" ht="15" hidden="false" customHeight="false" outlineLevel="0" collapsed="false">
      <c r="A121" s="10" t="s">
        <v>1344</v>
      </c>
      <c r="B121" s="10" t="s">
        <v>1099</v>
      </c>
      <c r="C121" s="10" t="s">
        <v>1345</v>
      </c>
      <c r="D121" s="10" t="s">
        <v>1124</v>
      </c>
      <c r="E121" s="10" t="s">
        <v>134</v>
      </c>
      <c r="F121" s="24" t="n">
        <f aca="false">Guidance_Accuracy!D24</f>
        <v>45971</v>
      </c>
      <c r="G121" s="11" t="n">
        <v>45971</v>
      </c>
      <c r="H121" s="10" t="n">
        <f aca="false">F121-G121</f>
        <v>0</v>
      </c>
      <c r="I121" s="10" t="str">
        <f aca="false">IF(ABS(H121)&lt;=0.000001,"PASS","FAIL")</f>
        <v>PASS</v>
      </c>
      <c r="J121" s="10" t="s">
        <v>1125</v>
      </c>
    </row>
    <row r="122" customFormat="false" ht="15" hidden="false" customHeight="false" outlineLevel="0" collapsed="false">
      <c r="A122" s="10" t="s">
        <v>1346</v>
      </c>
      <c r="B122" s="10" t="s">
        <v>1099</v>
      </c>
      <c r="C122" s="10" t="s">
        <v>1347</v>
      </c>
      <c r="D122" s="10" t="s">
        <v>1124</v>
      </c>
      <c r="E122" s="10" t="s">
        <v>134</v>
      </c>
      <c r="F122" s="10" t="str">
        <f aca="false">Guidance_Accuracy!E24</f>
        <v>Revenue</v>
      </c>
      <c r="G122" s="12" t="s">
        <v>24</v>
      </c>
      <c r="H122" s="10" t="n">
        <f aca="false">IF(EXACT(F122,G122),0,1)</f>
        <v>0</v>
      </c>
      <c r="I122" s="10" t="str">
        <f aca="false">IF(ABS(H122)&lt;=0.000001,"PASS","FAIL")</f>
        <v>PASS</v>
      </c>
      <c r="J122" s="10" t="s">
        <v>29</v>
      </c>
    </row>
    <row r="123" customFormat="false" ht="15" hidden="false" customHeight="false" outlineLevel="0" collapsed="false">
      <c r="A123" s="10" t="s">
        <v>1348</v>
      </c>
      <c r="B123" s="10" t="s">
        <v>1099</v>
      </c>
      <c r="C123" s="10" t="s">
        <v>1349</v>
      </c>
      <c r="D123" s="10" t="s">
        <v>1124</v>
      </c>
      <c r="E123" s="10" t="s">
        <v>134</v>
      </c>
      <c r="F123" s="14" t="n">
        <f aca="false">Guidance_Accuracy!F24</f>
        <v>328</v>
      </c>
      <c r="G123" s="12" t="n">
        <v>328</v>
      </c>
      <c r="H123" s="10" t="n">
        <f aca="false">F123-G123</f>
        <v>0</v>
      </c>
      <c r="I123" s="10" t="str">
        <f aca="false">IF(ABS(H123)&lt;=0.000001,"PASS","FAIL")</f>
        <v>PASS</v>
      </c>
      <c r="J123" s="10" t="s">
        <v>1130</v>
      </c>
    </row>
    <row r="124" customFormat="false" ht="15" hidden="false" customHeight="false" outlineLevel="0" collapsed="false">
      <c r="A124" s="10" t="s">
        <v>1350</v>
      </c>
      <c r="B124" s="10" t="s">
        <v>1099</v>
      </c>
      <c r="C124" s="10" t="s">
        <v>1351</v>
      </c>
      <c r="D124" s="10" t="s">
        <v>1124</v>
      </c>
      <c r="E124" s="10" t="s">
        <v>134</v>
      </c>
      <c r="F124" s="14" t="n">
        <f aca="false">Guidance_Accuracy!G24</f>
        <v>330</v>
      </c>
      <c r="G124" s="12" t="n">
        <v>330</v>
      </c>
      <c r="H124" s="10" t="n">
        <f aca="false">F124-G124</f>
        <v>0</v>
      </c>
      <c r="I124" s="10" t="str">
        <f aca="false">IF(ABS(H124)&lt;=0.000001,"PASS","FAIL")</f>
        <v>PASS</v>
      </c>
      <c r="J124" s="10" t="s">
        <v>1133</v>
      </c>
    </row>
    <row r="125" customFormat="false" ht="15" hidden="false" customHeight="false" outlineLevel="0" collapsed="false">
      <c r="A125" s="10" t="s">
        <v>1352</v>
      </c>
      <c r="B125" s="10" t="s">
        <v>1100</v>
      </c>
      <c r="C125" s="10" t="s">
        <v>1353</v>
      </c>
      <c r="D125" s="10" t="s">
        <v>1136</v>
      </c>
      <c r="E125" s="10" t="s">
        <v>135</v>
      </c>
      <c r="F125" s="22" t="n">
        <f aca="false">Guidance_Accuracy!I24</f>
        <v>333878</v>
      </c>
      <c r="G125" s="12" t="n">
        <v>333878</v>
      </c>
      <c r="H125" s="10" t="n">
        <f aca="false">F125-G125</f>
        <v>0</v>
      </c>
      <c r="I125" s="10" t="str">
        <f aca="false">IF(ABS(H125)&lt;=0.000001,"PASS","FAIL")</f>
        <v>PASS</v>
      </c>
      <c r="J125" s="10" t="s">
        <v>1354</v>
      </c>
    </row>
    <row r="126" customFormat="false" ht="15" hidden="false" customHeight="false" outlineLevel="0" collapsed="false">
      <c r="A126" s="10" t="s">
        <v>1355</v>
      </c>
      <c r="B126" s="10" t="s">
        <v>1101</v>
      </c>
      <c r="C126" s="10" t="s">
        <v>1356</v>
      </c>
      <c r="D126" s="10" t="s">
        <v>1136</v>
      </c>
      <c r="E126" s="10" t="s">
        <v>137</v>
      </c>
      <c r="F126" s="25" t="n">
        <f aca="false">Guidance_Accuracy!V24</f>
        <v>-180</v>
      </c>
      <c r="G126" s="12" t="n">
        <v>-180</v>
      </c>
      <c r="H126" s="10" t="n">
        <f aca="false">F126-G126</f>
        <v>0</v>
      </c>
      <c r="I126" s="10" t="str">
        <f aca="false">IF(ABS(H126)&lt;=0.000001,"PASS","FAIL")</f>
        <v>PASS</v>
      </c>
      <c r="J126" s="10" t="s">
        <v>1357</v>
      </c>
    </row>
    <row r="127" customFormat="false" ht="15" hidden="false" customHeight="false" outlineLevel="0" collapsed="false">
      <c r="A127" s="10" t="s">
        <v>1358</v>
      </c>
      <c r="B127" s="10" t="s">
        <v>1099</v>
      </c>
      <c r="C127" s="10" t="s">
        <v>1359</v>
      </c>
      <c r="D127" s="10" t="s">
        <v>1124</v>
      </c>
      <c r="E127" s="10" t="s">
        <v>139</v>
      </c>
      <c r="F127" s="24" t="n">
        <f aca="false">Guidance_Accuracy!D25</f>
        <v>46062</v>
      </c>
      <c r="G127" s="11" t="n">
        <v>46062</v>
      </c>
      <c r="H127" s="10" t="n">
        <f aca="false">F127-G127</f>
        <v>0</v>
      </c>
      <c r="I127" s="10" t="str">
        <f aca="false">IF(ABS(H127)&lt;=0.000001,"PASS","FAIL")</f>
        <v>PASS</v>
      </c>
      <c r="J127" s="10" t="s">
        <v>1125</v>
      </c>
    </row>
    <row r="128" customFormat="false" ht="15" hidden="false" customHeight="false" outlineLevel="0" collapsed="false">
      <c r="A128" s="10" t="s">
        <v>1360</v>
      </c>
      <c r="B128" s="10" t="s">
        <v>1099</v>
      </c>
      <c r="C128" s="10" t="s">
        <v>1361</v>
      </c>
      <c r="D128" s="10" t="s">
        <v>1124</v>
      </c>
      <c r="E128" s="10" t="s">
        <v>139</v>
      </c>
      <c r="F128" s="10" t="str">
        <f aca="false">Guidance_Accuracy!E25</f>
        <v>Revenue</v>
      </c>
      <c r="G128" s="12" t="s">
        <v>24</v>
      </c>
      <c r="H128" s="10" t="n">
        <f aca="false">IF(EXACT(F128,G128),0,1)</f>
        <v>0</v>
      </c>
      <c r="I128" s="10" t="str">
        <f aca="false">IF(ABS(H128)&lt;=0.000001,"PASS","FAIL")</f>
        <v>PASS</v>
      </c>
      <c r="J128" s="10" t="s">
        <v>29</v>
      </c>
    </row>
    <row r="129" customFormat="false" ht="15" hidden="false" customHeight="false" outlineLevel="0" collapsed="false">
      <c r="A129" s="10" t="s">
        <v>1362</v>
      </c>
      <c r="B129" s="10" t="s">
        <v>1099</v>
      </c>
      <c r="C129" s="10" t="s">
        <v>1363</v>
      </c>
      <c r="D129" s="10" t="s">
        <v>1124</v>
      </c>
      <c r="E129" s="10" t="s">
        <v>139</v>
      </c>
      <c r="F129" s="14" t="n">
        <f aca="false">Guidance_Accuracy!F25</f>
        <v>338</v>
      </c>
      <c r="G129" s="12" t="n">
        <v>338</v>
      </c>
      <c r="H129" s="10" t="n">
        <f aca="false">F129-G129</f>
        <v>0</v>
      </c>
      <c r="I129" s="10" t="str">
        <f aca="false">IF(ABS(H129)&lt;=0.000001,"PASS","FAIL")</f>
        <v>PASS</v>
      </c>
      <c r="J129" s="10" t="s">
        <v>1130</v>
      </c>
    </row>
    <row r="130" customFormat="false" ht="15" hidden="false" customHeight="false" outlineLevel="0" collapsed="false">
      <c r="A130" s="10" t="s">
        <v>1364</v>
      </c>
      <c r="B130" s="10" t="s">
        <v>1099</v>
      </c>
      <c r="C130" s="10" t="s">
        <v>1365</v>
      </c>
      <c r="D130" s="10" t="s">
        <v>1124</v>
      </c>
      <c r="E130" s="10" t="s">
        <v>139</v>
      </c>
      <c r="F130" s="14" t="n">
        <f aca="false">Guidance_Accuracy!G25</f>
        <v>340</v>
      </c>
      <c r="G130" s="12" t="n">
        <v>340</v>
      </c>
      <c r="H130" s="10" t="n">
        <f aca="false">F130-G130</f>
        <v>0</v>
      </c>
      <c r="I130" s="10" t="str">
        <f aca="false">IF(ABS(H130)&lt;=0.000001,"PASS","FAIL")</f>
        <v>PASS</v>
      </c>
      <c r="J130" s="10" t="s">
        <v>1133</v>
      </c>
    </row>
    <row r="131" customFormat="false" ht="15" hidden="false" customHeight="false" outlineLevel="0" collapsed="false">
      <c r="A131" s="10" t="s">
        <v>1366</v>
      </c>
      <c r="B131" s="10" t="s">
        <v>1100</v>
      </c>
      <c r="C131" s="10" t="s">
        <v>1367</v>
      </c>
      <c r="D131" s="10" t="s">
        <v>1136</v>
      </c>
      <c r="E131" s="10" t="s">
        <v>140</v>
      </c>
      <c r="F131" s="22" t="n">
        <f aca="false">Guidance_Accuracy!I25</f>
        <v>351265</v>
      </c>
      <c r="G131" s="12" t="n">
        <v>351265</v>
      </c>
      <c r="H131" s="10" t="n">
        <f aca="false">F131-G131</f>
        <v>0</v>
      </c>
      <c r="I131" s="10" t="str">
        <f aca="false">IF(ABS(H131)&lt;=0.000001,"PASS","FAIL")</f>
        <v>PASS</v>
      </c>
      <c r="J131" s="10" t="s">
        <v>1368</v>
      </c>
    </row>
    <row r="132" customFormat="false" ht="15" hidden="false" customHeight="false" outlineLevel="0" collapsed="false">
      <c r="A132" s="10" t="s">
        <v>1369</v>
      </c>
      <c r="B132" s="10" t="s">
        <v>1101</v>
      </c>
      <c r="C132" s="10" t="s">
        <v>1370</v>
      </c>
      <c r="D132" s="10" t="s">
        <v>1136</v>
      </c>
      <c r="E132" s="10" t="s">
        <v>142</v>
      </c>
      <c r="F132" s="25" t="n">
        <f aca="false">Guidance_Accuracy!V25</f>
        <v>-190</v>
      </c>
      <c r="G132" s="12" t="n">
        <v>-190</v>
      </c>
      <c r="H132" s="10" t="n">
        <f aca="false">F132-G132</f>
        <v>0</v>
      </c>
      <c r="I132" s="10" t="str">
        <f aca="false">IF(ABS(H132)&lt;=0.000001,"PASS","FAIL")</f>
        <v>PASS</v>
      </c>
      <c r="J132" s="10" t="s">
        <v>1371</v>
      </c>
    </row>
    <row r="133" customFormat="false" ht="15" hidden="false" customHeight="false" outlineLevel="0" collapsed="false">
      <c r="A133" s="10" t="s">
        <v>1372</v>
      </c>
      <c r="B133" s="10" t="s">
        <v>1099</v>
      </c>
      <c r="C133" s="10" t="s">
        <v>1373</v>
      </c>
      <c r="D133" s="10" t="s">
        <v>1124</v>
      </c>
      <c r="E133" s="10" t="s">
        <v>144</v>
      </c>
      <c r="F133" s="24" t="n">
        <f aca="false">Guidance_Accuracy!D26</f>
        <v>46153</v>
      </c>
      <c r="G133" s="11" t="n">
        <v>46153</v>
      </c>
      <c r="H133" s="10" t="n">
        <f aca="false">F133-G133</f>
        <v>0</v>
      </c>
      <c r="I133" s="10" t="str">
        <f aca="false">IF(ABS(H133)&lt;=0.000001,"PASS","FAIL")</f>
        <v>PASS</v>
      </c>
      <c r="J133" s="10" t="s">
        <v>1125</v>
      </c>
    </row>
    <row r="134" customFormat="false" ht="15" hidden="false" customHeight="false" outlineLevel="0" collapsed="false">
      <c r="A134" s="10" t="s">
        <v>1374</v>
      </c>
      <c r="B134" s="10" t="s">
        <v>1099</v>
      </c>
      <c r="C134" s="10" t="s">
        <v>1375</v>
      </c>
      <c r="D134" s="10" t="s">
        <v>1124</v>
      </c>
      <c r="E134" s="10" t="s">
        <v>144</v>
      </c>
      <c r="F134" s="10" t="str">
        <f aca="false">Guidance_Accuracy!E26</f>
        <v>Revenue</v>
      </c>
      <c r="G134" s="12" t="s">
        <v>24</v>
      </c>
      <c r="H134" s="10" t="n">
        <f aca="false">IF(EXACT(F134,G134),0,1)</f>
        <v>0</v>
      </c>
      <c r="I134" s="10" t="str">
        <f aca="false">IF(ABS(H134)&lt;=0.000001,"PASS","FAIL")</f>
        <v>PASS</v>
      </c>
      <c r="J134" s="10" t="s">
        <v>29</v>
      </c>
    </row>
    <row r="135" customFormat="false" ht="15" hidden="false" customHeight="false" outlineLevel="0" collapsed="false">
      <c r="A135" s="10" t="s">
        <v>1376</v>
      </c>
      <c r="B135" s="10" t="s">
        <v>1099</v>
      </c>
      <c r="C135" s="10" t="s">
        <v>1377</v>
      </c>
      <c r="D135" s="10" t="s">
        <v>1124</v>
      </c>
      <c r="E135" s="10" t="s">
        <v>144</v>
      </c>
      <c r="F135" s="14" t="n">
        <f aca="false">Guidance_Accuracy!F26</f>
        <v>354</v>
      </c>
      <c r="G135" s="12" t="n">
        <v>354</v>
      </c>
      <c r="H135" s="10" t="n">
        <f aca="false">F135-G135</f>
        <v>0</v>
      </c>
      <c r="I135" s="10" t="str">
        <f aca="false">IF(ABS(H135)&lt;=0.000001,"PASS","FAIL")</f>
        <v>PASS</v>
      </c>
      <c r="J135" s="10" t="s">
        <v>1130</v>
      </c>
    </row>
    <row r="136" customFormat="false" ht="15" hidden="false" customHeight="false" outlineLevel="0" collapsed="false">
      <c r="A136" s="10" t="s">
        <v>1378</v>
      </c>
      <c r="B136" s="10" t="s">
        <v>1099</v>
      </c>
      <c r="C136" s="10" t="s">
        <v>1379</v>
      </c>
      <c r="D136" s="10" t="s">
        <v>1124</v>
      </c>
      <c r="E136" s="10" t="s">
        <v>144</v>
      </c>
      <c r="F136" s="14" t="n">
        <f aca="false">Guidance_Accuracy!G26</f>
        <v>356</v>
      </c>
      <c r="G136" s="12" t="n">
        <v>356</v>
      </c>
      <c r="H136" s="10" t="n">
        <f aca="false">F136-G136</f>
        <v>0</v>
      </c>
      <c r="I136" s="10" t="str">
        <f aca="false">IF(ABS(H136)&lt;=0.000001,"PASS","FAIL")</f>
        <v>PASS</v>
      </c>
      <c r="J136" s="10" t="s">
        <v>1133</v>
      </c>
    </row>
    <row r="137" customFormat="false" ht="15" hidden="false" customHeight="false" outlineLevel="0" collapsed="false">
      <c r="A137" s="10" t="s">
        <v>1380</v>
      </c>
      <c r="B137" s="10" t="s">
        <v>1100</v>
      </c>
      <c r="C137" s="10" t="s">
        <v>1381</v>
      </c>
      <c r="D137" s="10" t="s">
        <v>1136</v>
      </c>
      <c r="E137" s="10" t="s">
        <v>145</v>
      </c>
      <c r="F137" s="22" t="n">
        <f aca="false">Guidance_Accuracy!I26</f>
        <v>364621</v>
      </c>
      <c r="G137" s="12" t="n">
        <v>364621</v>
      </c>
      <c r="H137" s="10" t="n">
        <f aca="false">F137-G137</f>
        <v>0</v>
      </c>
      <c r="I137" s="10" t="str">
        <f aca="false">IF(ABS(H137)&lt;=0.000001,"PASS","FAIL")</f>
        <v>PASS</v>
      </c>
      <c r="J137" s="10" t="s">
        <v>1382</v>
      </c>
    </row>
    <row r="138" customFormat="false" ht="15" hidden="false" customHeight="false" outlineLevel="0" collapsed="false">
      <c r="A138" s="10" t="s">
        <v>1383</v>
      </c>
      <c r="B138" s="10" t="s">
        <v>1101</v>
      </c>
      <c r="C138" s="10" t="s">
        <v>1384</v>
      </c>
      <c r="D138" s="10" t="s">
        <v>1136</v>
      </c>
      <c r="E138" s="10" t="s">
        <v>147</v>
      </c>
      <c r="F138" s="25" t="n">
        <f aca="false">Guidance_Accuracy!S26</f>
        <v>110</v>
      </c>
      <c r="G138" s="12" t="n">
        <v>110</v>
      </c>
      <c r="H138" s="10" t="n">
        <f aca="false">F138-G138</f>
        <v>0</v>
      </c>
      <c r="I138" s="10" t="str">
        <f aca="false">IF(ABS(H138)&lt;=0.000001,"PASS","FAIL")</f>
        <v>PASS</v>
      </c>
      <c r="J138" s="10" t="s">
        <v>1385</v>
      </c>
    </row>
    <row r="139" customFormat="false" ht="15" hidden="false" customHeight="false" outlineLevel="0" collapsed="false">
      <c r="A139" s="10" t="s">
        <v>1386</v>
      </c>
      <c r="B139" s="10" t="s">
        <v>1101</v>
      </c>
      <c r="C139" s="10" t="s">
        <v>1387</v>
      </c>
      <c r="D139" s="10" t="s">
        <v>1136</v>
      </c>
      <c r="E139" s="10" t="s">
        <v>148</v>
      </c>
      <c r="F139" s="25" t="n">
        <f aca="false">Guidance_Accuracy!V26</f>
        <v>-210</v>
      </c>
      <c r="G139" s="12" t="n">
        <v>-210</v>
      </c>
      <c r="H139" s="10" t="n">
        <f aca="false">F139-G139</f>
        <v>0</v>
      </c>
      <c r="I139" s="10" t="str">
        <f aca="false">IF(ABS(H139)&lt;=0.000001,"PASS","FAIL")</f>
        <v>PASS</v>
      </c>
      <c r="J139" s="10" t="s">
        <v>1388</v>
      </c>
    </row>
    <row r="140" customFormat="false" ht="15" hidden="false" customHeight="false" outlineLevel="0" collapsed="false">
      <c r="A140" s="10" t="s">
        <v>1389</v>
      </c>
      <c r="B140" s="10" t="s">
        <v>1099</v>
      </c>
      <c r="C140" s="10" t="s">
        <v>1390</v>
      </c>
      <c r="D140" s="10" t="s">
        <v>1124</v>
      </c>
      <c r="E140" s="10" t="s">
        <v>150</v>
      </c>
      <c r="F140" s="24" t="n">
        <f aca="false">Guidance_Accuracy!D32</f>
        <v>44425</v>
      </c>
      <c r="G140" s="11" t="n">
        <v>44425</v>
      </c>
      <c r="H140" s="10" t="n">
        <f aca="false">F140-G140</f>
        <v>0</v>
      </c>
      <c r="I140" s="10" t="str">
        <f aca="false">IF(ABS(H140)&lt;=0.000001,"PASS","FAIL")</f>
        <v>PASS</v>
      </c>
      <c r="J140" s="10" t="s">
        <v>1125</v>
      </c>
    </row>
    <row r="141" customFormat="false" ht="15" hidden="false" customHeight="false" outlineLevel="0" collapsed="false">
      <c r="A141" s="10" t="s">
        <v>1391</v>
      </c>
      <c r="B141" s="10" t="s">
        <v>1099</v>
      </c>
      <c r="C141" s="10" t="s">
        <v>1392</v>
      </c>
      <c r="D141" s="10" t="s">
        <v>1124</v>
      </c>
      <c r="E141" s="10" t="s">
        <v>150</v>
      </c>
      <c r="F141" s="10" t="str">
        <f aca="false">Guidance_Accuracy!E32</f>
        <v>Non-GAAP operating income (loss)</v>
      </c>
      <c r="G141" s="12" t="s">
        <v>151</v>
      </c>
      <c r="H141" s="10" t="n">
        <f aca="false">IF(EXACT(F141,G141),0,1)</f>
        <v>0</v>
      </c>
      <c r="I141" s="10" t="str">
        <f aca="false">IF(ABS(H141)&lt;=0.000001,"PASS","FAIL")</f>
        <v>PASS</v>
      </c>
      <c r="J141" s="10" t="s">
        <v>29</v>
      </c>
    </row>
    <row r="142" customFormat="false" ht="15" hidden="false" customHeight="false" outlineLevel="0" collapsed="false">
      <c r="A142" s="10" t="s">
        <v>1393</v>
      </c>
      <c r="B142" s="10" t="s">
        <v>1099</v>
      </c>
      <c r="C142" s="10" t="s">
        <v>1394</v>
      </c>
      <c r="D142" s="10" t="s">
        <v>1124</v>
      </c>
      <c r="E142" s="10" t="s">
        <v>150</v>
      </c>
      <c r="F142" s="14" t="n">
        <f aca="false">Guidance_Accuracy!F32</f>
        <v>-26</v>
      </c>
      <c r="G142" s="12" t="n">
        <v>-26</v>
      </c>
      <c r="H142" s="10" t="n">
        <f aca="false">F142-G142</f>
        <v>0</v>
      </c>
      <c r="I142" s="10" t="str">
        <f aca="false">IF(ABS(H142)&lt;=0.000001,"PASS","FAIL")</f>
        <v>PASS</v>
      </c>
      <c r="J142" s="10" t="s">
        <v>1130</v>
      </c>
    </row>
    <row r="143" customFormat="false" ht="15" hidden="false" customHeight="false" outlineLevel="0" collapsed="false">
      <c r="A143" s="10" t="s">
        <v>1395</v>
      </c>
      <c r="B143" s="10" t="s">
        <v>1099</v>
      </c>
      <c r="C143" s="10" t="s">
        <v>1396</v>
      </c>
      <c r="D143" s="10" t="s">
        <v>1124</v>
      </c>
      <c r="E143" s="10" t="s">
        <v>150</v>
      </c>
      <c r="F143" s="14" t="n">
        <f aca="false">Guidance_Accuracy!G32</f>
        <v>-25</v>
      </c>
      <c r="G143" s="12" t="n">
        <v>-25</v>
      </c>
      <c r="H143" s="10" t="n">
        <f aca="false">F143-G143</f>
        <v>0</v>
      </c>
      <c r="I143" s="10" t="str">
        <f aca="false">IF(ABS(H143)&lt;=0.000001,"PASS","FAIL")</f>
        <v>PASS</v>
      </c>
      <c r="J143" s="10" t="s">
        <v>1133</v>
      </c>
    </row>
    <row r="144" customFormat="false" ht="15" hidden="false" customHeight="false" outlineLevel="0" collapsed="false">
      <c r="A144" s="10" t="s">
        <v>1397</v>
      </c>
      <c r="B144" s="10" t="s">
        <v>1100</v>
      </c>
      <c r="C144" s="10" t="s">
        <v>1398</v>
      </c>
      <c r="D144" s="10" t="s">
        <v>1136</v>
      </c>
      <c r="E144" s="10" t="s">
        <v>152</v>
      </c>
      <c r="F144" s="22" t="n">
        <f aca="false">Guidance_Accuracy!I32</f>
        <v>-9449</v>
      </c>
      <c r="G144" s="12" t="n">
        <v>-9449</v>
      </c>
      <c r="H144" s="10" t="n">
        <f aca="false">F144-G144</f>
        <v>0</v>
      </c>
      <c r="I144" s="10" t="str">
        <f aca="false">IF(ABS(H144)&lt;=0.000001,"PASS","FAIL")</f>
        <v>PASS</v>
      </c>
      <c r="J144" s="10" t="s">
        <v>1399</v>
      </c>
    </row>
    <row r="145" customFormat="false" ht="15" hidden="false" customHeight="false" outlineLevel="0" collapsed="false">
      <c r="A145" s="10" t="s">
        <v>1400</v>
      </c>
      <c r="B145" s="10" t="s">
        <v>1099</v>
      </c>
      <c r="C145" s="10" t="s">
        <v>1401</v>
      </c>
      <c r="D145" s="10" t="s">
        <v>1124</v>
      </c>
      <c r="E145" s="10" t="s">
        <v>154</v>
      </c>
      <c r="F145" s="24" t="n">
        <f aca="false">Guidance_Accuracy!D33</f>
        <v>44510</v>
      </c>
      <c r="G145" s="11" t="n">
        <v>44510</v>
      </c>
      <c r="H145" s="10" t="n">
        <f aca="false">F145-G145</f>
        <v>0</v>
      </c>
      <c r="I145" s="10" t="str">
        <f aca="false">IF(ABS(H145)&lt;=0.000001,"PASS","FAIL")</f>
        <v>PASS</v>
      </c>
      <c r="J145" s="10" t="s">
        <v>1125</v>
      </c>
    </row>
    <row r="146" customFormat="false" ht="15" hidden="false" customHeight="false" outlineLevel="0" collapsed="false">
      <c r="A146" s="10" t="s">
        <v>1402</v>
      </c>
      <c r="B146" s="10" t="s">
        <v>1099</v>
      </c>
      <c r="C146" s="10" t="s">
        <v>1403</v>
      </c>
      <c r="D146" s="10" t="s">
        <v>1124</v>
      </c>
      <c r="E146" s="10" t="s">
        <v>154</v>
      </c>
      <c r="F146" s="10" t="str">
        <f aca="false">Guidance_Accuracy!E33</f>
        <v>Non-GAAP operating income (loss)</v>
      </c>
      <c r="G146" s="12" t="s">
        <v>151</v>
      </c>
      <c r="H146" s="10" t="n">
        <f aca="false">IF(EXACT(F146,G146),0,1)</f>
        <v>0</v>
      </c>
      <c r="I146" s="10" t="str">
        <f aca="false">IF(ABS(H146)&lt;=0.000001,"PASS","FAIL")</f>
        <v>PASS</v>
      </c>
      <c r="J146" s="10" t="s">
        <v>29</v>
      </c>
    </row>
    <row r="147" customFormat="false" ht="15" hidden="false" customHeight="false" outlineLevel="0" collapsed="false">
      <c r="A147" s="10" t="s">
        <v>1404</v>
      </c>
      <c r="B147" s="10" t="s">
        <v>1099</v>
      </c>
      <c r="C147" s="10" t="s">
        <v>1405</v>
      </c>
      <c r="D147" s="10" t="s">
        <v>1124</v>
      </c>
      <c r="E147" s="10" t="s">
        <v>154</v>
      </c>
      <c r="F147" s="14" t="n">
        <f aca="false">Guidance_Accuracy!F33</f>
        <v>-23</v>
      </c>
      <c r="G147" s="12" t="n">
        <v>-23</v>
      </c>
      <c r="H147" s="10" t="n">
        <f aca="false">F147-G147</f>
        <v>0</v>
      </c>
      <c r="I147" s="10" t="str">
        <f aca="false">IF(ABS(H147)&lt;=0.000001,"PASS","FAIL")</f>
        <v>PASS</v>
      </c>
      <c r="J147" s="10" t="s">
        <v>1130</v>
      </c>
    </row>
    <row r="148" customFormat="false" ht="15" hidden="false" customHeight="false" outlineLevel="0" collapsed="false">
      <c r="A148" s="10" t="s">
        <v>1406</v>
      </c>
      <c r="B148" s="10" t="s">
        <v>1099</v>
      </c>
      <c r="C148" s="10" t="s">
        <v>1407</v>
      </c>
      <c r="D148" s="10" t="s">
        <v>1124</v>
      </c>
      <c r="E148" s="10" t="s">
        <v>154</v>
      </c>
      <c r="F148" s="14" t="n">
        <f aca="false">Guidance_Accuracy!G33</f>
        <v>-22</v>
      </c>
      <c r="G148" s="12" t="n">
        <v>-22</v>
      </c>
      <c r="H148" s="10" t="n">
        <f aca="false">F148-G148</f>
        <v>0</v>
      </c>
      <c r="I148" s="10" t="str">
        <f aca="false">IF(ABS(H148)&lt;=0.000001,"PASS","FAIL")</f>
        <v>PASS</v>
      </c>
      <c r="J148" s="10" t="s">
        <v>1133</v>
      </c>
    </row>
    <row r="149" customFormat="false" ht="15" hidden="false" customHeight="false" outlineLevel="0" collapsed="false">
      <c r="A149" s="10" t="s">
        <v>1408</v>
      </c>
      <c r="B149" s="10" t="s">
        <v>1100</v>
      </c>
      <c r="C149" s="10" t="s">
        <v>1409</v>
      </c>
      <c r="D149" s="10" t="s">
        <v>1136</v>
      </c>
      <c r="E149" s="10" t="s">
        <v>155</v>
      </c>
      <c r="F149" s="22" t="n">
        <f aca="false">Guidance_Accuracy!I33</f>
        <v>-9929</v>
      </c>
      <c r="G149" s="12" t="n">
        <v>-9929</v>
      </c>
      <c r="H149" s="10" t="n">
        <f aca="false">F149-G149</f>
        <v>0</v>
      </c>
      <c r="I149" s="10" t="str">
        <f aca="false">IF(ABS(H149)&lt;=0.000001,"PASS","FAIL")</f>
        <v>PASS</v>
      </c>
      <c r="J149" s="10" t="s">
        <v>1410</v>
      </c>
    </row>
    <row r="150" customFormat="false" ht="15" hidden="false" customHeight="false" outlineLevel="0" collapsed="false">
      <c r="A150" s="10" t="s">
        <v>1411</v>
      </c>
      <c r="B150" s="10" t="s">
        <v>1099</v>
      </c>
      <c r="C150" s="10" t="s">
        <v>1412</v>
      </c>
      <c r="D150" s="10" t="s">
        <v>1124</v>
      </c>
      <c r="E150" s="10" t="s">
        <v>156</v>
      </c>
      <c r="F150" s="24" t="n">
        <f aca="false">Guidance_Accuracy!D34</f>
        <v>44615</v>
      </c>
      <c r="G150" s="11" t="n">
        <v>44615</v>
      </c>
      <c r="H150" s="10" t="n">
        <f aca="false">F150-G150</f>
        <v>0</v>
      </c>
      <c r="I150" s="10" t="str">
        <f aca="false">IF(ABS(H150)&lt;=0.000001,"PASS","FAIL")</f>
        <v>PASS</v>
      </c>
      <c r="J150" s="10" t="s">
        <v>1125</v>
      </c>
    </row>
    <row r="151" customFormat="false" ht="15" hidden="false" customHeight="false" outlineLevel="0" collapsed="false">
      <c r="A151" s="10" t="s">
        <v>1413</v>
      </c>
      <c r="B151" s="10" t="s">
        <v>1099</v>
      </c>
      <c r="C151" s="10" t="s">
        <v>1414</v>
      </c>
      <c r="D151" s="10" t="s">
        <v>1124</v>
      </c>
      <c r="E151" s="10" t="s">
        <v>156</v>
      </c>
      <c r="F151" s="10" t="str">
        <f aca="false">Guidance_Accuracy!E34</f>
        <v>Non-GAAP operating income (loss)</v>
      </c>
      <c r="G151" s="12" t="s">
        <v>151</v>
      </c>
      <c r="H151" s="10" t="n">
        <f aca="false">IF(EXACT(F151,G151),0,1)</f>
        <v>0</v>
      </c>
      <c r="I151" s="10" t="str">
        <f aca="false">IF(ABS(H151)&lt;=0.000001,"PASS","FAIL")</f>
        <v>PASS</v>
      </c>
      <c r="J151" s="10" t="s">
        <v>29</v>
      </c>
    </row>
    <row r="152" customFormat="false" ht="15" hidden="false" customHeight="false" outlineLevel="0" collapsed="false">
      <c r="A152" s="10" t="s">
        <v>1415</v>
      </c>
      <c r="B152" s="10" t="s">
        <v>1099</v>
      </c>
      <c r="C152" s="10" t="s">
        <v>1416</v>
      </c>
      <c r="D152" s="10" t="s">
        <v>1124</v>
      </c>
      <c r="E152" s="10" t="s">
        <v>156</v>
      </c>
      <c r="F152" s="14" t="n">
        <f aca="false">Guidance_Accuracy!F34</f>
        <v>-47</v>
      </c>
      <c r="G152" s="12" t="n">
        <v>-47</v>
      </c>
      <c r="H152" s="10" t="n">
        <f aca="false">F152-G152</f>
        <v>0</v>
      </c>
      <c r="I152" s="10" t="str">
        <f aca="false">IF(ABS(H152)&lt;=0.000001,"PASS","FAIL")</f>
        <v>PASS</v>
      </c>
      <c r="J152" s="10" t="s">
        <v>1130</v>
      </c>
    </row>
    <row r="153" customFormat="false" ht="15" hidden="false" customHeight="false" outlineLevel="0" collapsed="false">
      <c r="A153" s="10" t="s">
        <v>1417</v>
      </c>
      <c r="B153" s="10" t="s">
        <v>1099</v>
      </c>
      <c r="C153" s="10" t="s">
        <v>1418</v>
      </c>
      <c r="D153" s="10" t="s">
        <v>1124</v>
      </c>
      <c r="E153" s="10" t="s">
        <v>156</v>
      </c>
      <c r="F153" s="14" t="n">
        <f aca="false">Guidance_Accuracy!G34</f>
        <v>-45</v>
      </c>
      <c r="G153" s="12" t="n">
        <v>-45</v>
      </c>
      <c r="H153" s="10" t="n">
        <f aca="false">F153-G153</f>
        <v>0</v>
      </c>
      <c r="I153" s="10" t="str">
        <f aca="false">IF(ABS(H153)&lt;=0.000001,"PASS","FAIL")</f>
        <v>PASS</v>
      </c>
      <c r="J153" s="10" t="s">
        <v>1133</v>
      </c>
    </row>
    <row r="154" customFormat="false" ht="15" hidden="false" customHeight="false" outlineLevel="0" collapsed="false">
      <c r="A154" s="10" t="s">
        <v>1419</v>
      </c>
      <c r="B154" s="10" t="s">
        <v>1100</v>
      </c>
      <c r="C154" s="10" t="s">
        <v>1420</v>
      </c>
      <c r="D154" s="10" t="s">
        <v>1136</v>
      </c>
      <c r="E154" s="10" t="s">
        <v>157</v>
      </c>
      <c r="F154" s="22" t="n">
        <f aca="false">Guidance_Accuracy!I34</f>
        <v>-43830</v>
      </c>
      <c r="G154" s="12" t="n">
        <v>-43830</v>
      </c>
      <c r="H154" s="10" t="n">
        <f aca="false">F154-G154</f>
        <v>0</v>
      </c>
      <c r="I154" s="10" t="str">
        <f aca="false">IF(ABS(H154)&lt;=0.000001,"PASS","FAIL")</f>
        <v>PASS</v>
      </c>
      <c r="J154" s="10" t="s">
        <v>1421</v>
      </c>
    </row>
    <row r="155" customFormat="false" ht="15" hidden="false" customHeight="false" outlineLevel="0" collapsed="false">
      <c r="A155" s="10" t="s">
        <v>1422</v>
      </c>
      <c r="B155" s="10" t="s">
        <v>1101</v>
      </c>
      <c r="C155" s="10" t="s">
        <v>1423</v>
      </c>
      <c r="D155" s="10" t="s">
        <v>1136</v>
      </c>
      <c r="E155" s="10" t="s">
        <v>67</v>
      </c>
      <c r="F155" s="25" t="n">
        <f aca="false">Guidance_Accuracy!S34</f>
        <v>-100</v>
      </c>
      <c r="G155" s="12" t="n">
        <v>-100</v>
      </c>
      <c r="H155" s="10" t="n">
        <f aca="false">F155-G155</f>
        <v>0</v>
      </c>
      <c r="I155" s="10" t="str">
        <f aca="false">IF(ABS(H155)&lt;=0.000001,"PASS","FAIL")</f>
        <v>PASS</v>
      </c>
      <c r="J155" s="10" t="s">
        <v>1162</v>
      </c>
    </row>
    <row r="156" customFormat="false" ht="15" hidden="false" customHeight="false" outlineLevel="0" collapsed="false">
      <c r="A156" s="10" t="s">
        <v>1424</v>
      </c>
      <c r="B156" s="10" t="s">
        <v>1099</v>
      </c>
      <c r="C156" s="10" t="s">
        <v>1425</v>
      </c>
      <c r="D156" s="10" t="s">
        <v>1124</v>
      </c>
      <c r="E156" s="10" t="s">
        <v>158</v>
      </c>
      <c r="F156" s="24" t="n">
        <f aca="false">Guidance_Accuracy!D35</f>
        <v>44697</v>
      </c>
      <c r="G156" s="11" t="n">
        <v>44697</v>
      </c>
      <c r="H156" s="10" t="n">
        <f aca="false">F156-G156</f>
        <v>0</v>
      </c>
      <c r="I156" s="10" t="str">
        <f aca="false">IF(ABS(H156)&lt;=0.000001,"PASS","FAIL")</f>
        <v>PASS</v>
      </c>
      <c r="J156" s="10" t="s">
        <v>1125</v>
      </c>
    </row>
    <row r="157" customFormat="false" ht="15" hidden="false" customHeight="false" outlineLevel="0" collapsed="false">
      <c r="A157" s="10" t="s">
        <v>1426</v>
      </c>
      <c r="B157" s="10" t="s">
        <v>1099</v>
      </c>
      <c r="C157" s="10" t="s">
        <v>1427</v>
      </c>
      <c r="D157" s="10" t="s">
        <v>1124</v>
      </c>
      <c r="E157" s="10" t="s">
        <v>158</v>
      </c>
      <c r="F157" s="10" t="str">
        <f aca="false">Guidance_Accuracy!E35</f>
        <v>Non-GAAP operating income (loss)</v>
      </c>
      <c r="G157" s="12" t="s">
        <v>151</v>
      </c>
      <c r="H157" s="10" t="n">
        <f aca="false">IF(EXACT(F157,G157),0,1)</f>
        <v>0</v>
      </c>
      <c r="I157" s="10" t="str">
        <f aca="false">IF(ABS(H157)&lt;=0.000001,"PASS","FAIL")</f>
        <v>PASS</v>
      </c>
      <c r="J157" s="10" t="s">
        <v>29</v>
      </c>
    </row>
    <row r="158" customFormat="false" ht="15" hidden="false" customHeight="false" outlineLevel="0" collapsed="false">
      <c r="A158" s="10" t="s">
        <v>1428</v>
      </c>
      <c r="B158" s="10" t="s">
        <v>1099</v>
      </c>
      <c r="C158" s="10" t="s">
        <v>1429</v>
      </c>
      <c r="D158" s="10" t="s">
        <v>1124</v>
      </c>
      <c r="E158" s="10" t="s">
        <v>158</v>
      </c>
      <c r="F158" s="14" t="n">
        <f aca="false">Guidance_Accuracy!F35</f>
        <v>-35</v>
      </c>
      <c r="G158" s="12" t="n">
        <v>-35</v>
      </c>
      <c r="H158" s="10" t="n">
        <f aca="false">F158-G158</f>
        <v>0</v>
      </c>
      <c r="I158" s="10" t="str">
        <f aca="false">IF(ABS(H158)&lt;=0.000001,"PASS","FAIL")</f>
        <v>PASS</v>
      </c>
      <c r="J158" s="10" t="s">
        <v>1130</v>
      </c>
    </row>
    <row r="159" customFormat="false" ht="15" hidden="false" customHeight="false" outlineLevel="0" collapsed="false">
      <c r="A159" s="10" t="s">
        <v>1430</v>
      </c>
      <c r="B159" s="10" t="s">
        <v>1099</v>
      </c>
      <c r="C159" s="10" t="s">
        <v>1431</v>
      </c>
      <c r="D159" s="10" t="s">
        <v>1124</v>
      </c>
      <c r="E159" s="10" t="s">
        <v>158</v>
      </c>
      <c r="F159" s="14" t="n">
        <f aca="false">Guidance_Accuracy!G35</f>
        <v>-33</v>
      </c>
      <c r="G159" s="12" t="n">
        <v>-33</v>
      </c>
      <c r="H159" s="10" t="n">
        <f aca="false">F159-G159</f>
        <v>0</v>
      </c>
      <c r="I159" s="10" t="str">
        <f aca="false">IF(ABS(H159)&lt;=0.000001,"PASS","FAIL")</f>
        <v>PASS</v>
      </c>
      <c r="J159" s="10" t="s">
        <v>1133</v>
      </c>
    </row>
    <row r="160" customFormat="false" ht="15" hidden="false" customHeight="false" outlineLevel="0" collapsed="false">
      <c r="A160" s="10" t="s">
        <v>1432</v>
      </c>
      <c r="B160" s="10" t="s">
        <v>1100</v>
      </c>
      <c r="C160" s="10" t="s">
        <v>1433</v>
      </c>
      <c r="D160" s="10" t="s">
        <v>1136</v>
      </c>
      <c r="E160" s="10" t="s">
        <v>159</v>
      </c>
      <c r="F160" s="22" t="n">
        <f aca="false">Guidance_Accuracy!I35</f>
        <v>-15358</v>
      </c>
      <c r="G160" s="12" t="n">
        <v>-15358</v>
      </c>
      <c r="H160" s="10" t="n">
        <f aca="false">F160-G160</f>
        <v>0</v>
      </c>
      <c r="I160" s="10" t="str">
        <f aca="false">IF(ABS(H160)&lt;=0.000001,"PASS","FAIL")</f>
        <v>PASS</v>
      </c>
      <c r="J160" s="10" t="s">
        <v>1434</v>
      </c>
    </row>
    <row r="161" customFormat="false" ht="15" hidden="false" customHeight="false" outlineLevel="0" collapsed="false">
      <c r="A161" s="10" t="s">
        <v>1435</v>
      </c>
      <c r="B161" s="10" t="s">
        <v>1101</v>
      </c>
      <c r="C161" s="10" t="s">
        <v>1436</v>
      </c>
      <c r="D161" s="10" t="s">
        <v>1136</v>
      </c>
      <c r="E161" s="10" t="s">
        <v>73</v>
      </c>
      <c r="F161" s="25" t="n">
        <f aca="false">Guidance_Accuracy!S35</f>
        <v>-200</v>
      </c>
      <c r="G161" s="12" t="n">
        <v>-200</v>
      </c>
      <c r="H161" s="10" t="n">
        <f aca="false">F161-G161</f>
        <v>0</v>
      </c>
      <c r="I161" s="10" t="str">
        <f aca="false">IF(ABS(H161)&lt;=0.000001,"PASS","FAIL")</f>
        <v>PASS</v>
      </c>
      <c r="J161" s="10" t="s">
        <v>1176</v>
      </c>
    </row>
    <row r="162" customFormat="false" ht="15" hidden="false" customHeight="false" outlineLevel="0" collapsed="false">
      <c r="A162" s="10" t="s">
        <v>1437</v>
      </c>
      <c r="B162" s="10" t="s">
        <v>1099</v>
      </c>
      <c r="C162" s="10" t="s">
        <v>1438</v>
      </c>
      <c r="D162" s="10" t="s">
        <v>1124</v>
      </c>
      <c r="E162" s="10" t="s">
        <v>160</v>
      </c>
      <c r="F162" s="24" t="n">
        <f aca="false">Guidance_Accuracy!D36</f>
        <v>44781</v>
      </c>
      <c r="G162" s="11" t="n">
        <v>44781</v>
      </c>
      <c r="H162" s="10" t="n">
        <f aca="false">F162-G162</f>
        <v>0</v>
      </c>
      <c r="I162" s="10" t="str">
        <f aca="false">IF(ABS(H162)&lt;=0.000001,"PASS","FAIL")</f>
        <v>PASS</v>
      </c>
      <c r="J162" s="10" t="s">
        <v>1125</v>
      </c>
    </row>
    <row r="163" customFormat="false" ht="15" hidden="false" customHeight="false" outlineLevel="0" collapsed="false">
      <c r="A163" s="10" t="s">
        <v>1439</v>
      </c>
      <c r="B163" s="10" t="s">
        <v>1099</v>
      </c>
      <c r="C163" s="10" t="s">
        <v>1440</v>
      </c>
      <c r="D163" s="10" t="s">
        <v>1124</v>
      </c>
      <c r="E163" s="10" t="s">
        <v>160</v>
      </c>
      <c r="F163" s="10" t="str">
        <f aca="false">Guidance_Accuracy!E36</f>
        <v>Non-GAAP operating income (loss)</v>
      </c>
      <c r="G163" s="12" t="s">
        <v>151</v>
      </c>
      <c r="H163" s="10" t="n">
        <f aca="false">IF(EXACT(F163,G163),0,1)</f>
        <v>0</v>
      </c>
      <c r="I163" s="10" t="str">
        <f aca="false">IF(ABS(H163)&lt;=0.000001,"PASS","FAIL")</f>
        <v>PASS</v>
      </c>
      <c r="J163" s="10" t="s">
        <v>29</v>
      </c>
    </row>
    <row r="164" customFormat="false" ht="15" hidden="false" customHeight="false" outlineLevel="0" collapsed="false">
      <c r="A164" s="10" t="s">
        <v>1441</v>
      </c>
      <c r="B164" s="10" t="s">
        <v>1099</v>
      </c>
      <c r="C164" s="10" t="s">
        <v>1442</v>
      </c>
      <c r="D164" s="10" t="s">
        <v>1124</v>
      </c>
      <c r="E164" s="10" t="s">
        <v>160</v>
      </c>
      <c r="F164" s="14" t="n">
        <f aca="false">Guidance_Accuracy!F36</f>
        <v>-25</v>
      </c>
      <c r="G164" s="12" t="n">
        <v>-25</v>
      </c>
      <c r="H164" s="10" t="n">
        <f aca="false">F164-G164</f>
        <v>0</v>
      </c>
      <c r="I164" s="10" t="str">
        <f aca="false">IF(ABS(H164)&lt;=0.000001,"PASS","FAIL")</f>
        <v>PASS</v>
      </c>
      <c r="J164" s="10" t="s">
        <v>1130</v>
      </c>
    </row>
    <row r="165" customFormat="false" ht="15" hidden="false" customHeight="false" outlineLevel="0" collapsed="false">
      <c r="A165" s="10" t="s">
        <v>1443</v>
      </c>
      <c r="B165" s="10" t="s">
        <v>1099</v>
      </c>
      <c r="C165" s="10" t="s">
        <v>1444</v>
      </c>
      <c r="D165" s="10" t="s">
        <v>1124</v>
      </c>
      <c r="E165" s="10" t="s">
        <v>160</v>
      </c>
      <c r="F165" s="14" t="n">
        <f aca="false">Guidance_Accuracy!G36</f>
        <v>-24</v>
      </c>
      <c r="G165" s="12" t="n">
        <v>-24</v>
      </c>
      <c r="H165" s="10" t="n">
        <f aca="false">F165-G165</f>
        <v>0</v>
      </c>
      <c r="I165" s="10" t="str">
        <f aca="false">IF(ABS(H165)&lt;=0.000001,"PASS","FAIL")</f>
        <v>PASS</v>
      </c>
      <c r="J165" s="10" t="s">
        <v>1133</v>
      </c>
    </row>
    <row r="166" customFormat="false" ht="15" hidden="false" customHeight="false" outlineLevel="0" collapsed="false">
      <c r="A166" s="10" t="s">
        <v>1445</v>
      </c>
      <c r="B166" s="10" t="s">
        <v>1100</v>
      </c>
      <c r="C166" s="10" t="s">
        <v>1446</v>
      </c>
      <c r="D166" s="10" t="s">
        <v>1136</v>
      </c>
      <c r="E166" s="10" t="s">
        <v>161</v>
      </c>
      <c r="F166" s="22" t="n">
        <f aca="false">Guidance_Accuracy!I36</f>
        <v>-2185</v>
      </c>
      <c r="G166" s="12" t="n">
        <v>-2185</v>
      </c>
      <c r="H166" s="10" t="n">
        <f aca="false">F166-G166</f>
        <v>0</v>
      </c>
      <c r="I166" s="10" t="str">
        <f aca="false">IF(ABS(H166)&lt;=0.000001,"PASS","FAIL")</f>
        <v>PASS</v>
      </c>
      <c r="J166" s="10" t="s">
        <v>1447</v>
      </c>
    </row>
    <row r="167" customFormat="false" ht="15" hidden="false" customHeight="false" outlineLevel="0" collapsed="false">
      <c r="A167" s="10" t="s">
        <v>1448</v>
      </c>
      <c r="B167" s="10" t="s">
        <v>1101</v>
      </c>
      <c r="C167" s="10" t="s">
        <v>1449</v>
      </c>
      <c r="D167" s="10" t="s">
        <v>1136</v>
      </c>
      <c r="E167" s="10" t="s">
        <v>77</v>
      </c>
      <c r="F167" s="25" t="n">
        <f aca="false">Guidance_Accuracy!S36</f>
        <v>-300</v>
      </c>
      <c r="G167" s="12" t="n">
        <v>-300</v>
      </c>
      <c r="H167" s="10" t="n">
        <f aca="false">F167-G167</f>
        <v>0</v>
      </c>
      <c r="I167" s="10" t="str">
        <f aca="false">IF(ABS(H167)&lt;=0.000001,"PASS","FAIL")</f>
        <v>PASS</v>
      </c>
      <c r="J167" s="10" t="s">
        <v>1190</v>
      </c>
    </row>
    <row r="168" customFormat="false" ht="15" hidden="false" customHeight="false" outlineLevel="0" collapsed="false">
      <c r="A168" s="10" t="s">
        <v>1450</v>
      </c>
      <c r="B168" s="10" t="s">
        <v>1099</v>
      </c>
      <c r="C168" s="10" t="s">
        <v>1451</v>
      </c>
      <c r="D168" s="10" t="s">
        <v>1124</v>
      </c>
      <c r="E168" s="10" t="s">
        <v>162</v>
      </c>
      <c r="F168" s="24" t="n">
        <f aca="false">Guidance_Accuracy!D37</f>
        <v>44879</v>
      </c>
      <c r="G168" s="11" t="n">
        <v>44879</v>
      </c>
      <c r="H168" s="10" t="n">
        <f aca="false">F168-G168</f>
        <v>0</v>
      </c>
      <c r="I168" s="10" t="str">
        <f aca="false">IF(ABS(H168)&lt;=0.000001,"PASS","FAIL")</f>
        <v>PASS</v>
      </c>
      <c r="J168" s="10" t="s">
        <v>1125</v>
      </c>
    </row>
    <row r="169" customFormat="false" ht="15" hidden="false" customHeight="false" outlineLevel="0" collapsed="false">
      <c r="A169" s="10" t="s">
        <v>1452</v>
      </c>
      <c r="B169" s="10" t="s">
        <v>1099</v>
      </c>
      <c r="C169" s="10" t="s">
        <v>1453</v>
      </c>
      <c r="D169" s="10" t="s">
        <v>1124</v>
      </c>
      <c r="E169" s="10" t="s">
        <v>162</v>
      </c>
      <c r="F169" s="10" t="str">
        <f aca="false">Guidance_Accuracy!E37</f>
        <v>Non-GAAP operating income (loss)</v>
      </c>
      <c r="G169" s="12" t="s">
        <v>151</v>
      </c>
      <c r="H169" s="10" t="n">
        <f aca="false">IF(EXACT(F169,G169),0,1)</f>
        <v>0</v>
      </c>
      <c r="I169" s="10" t="str">
        <f aca="false">IF(ABS(H169)&lt;=0.000001,"PASS","FAIL")</f>
        <v>PASS</v>
      </c>
      <c r="J169" s="10" t="s">
        <v>29</v>
      </c>
    </row>
    <row r="170" customFormat="false" ht="15" hidden="false" customHeight="false" outlineLevel="0" collapsed="false">
      <c r="A170" s="10" t="s">
        <v>1454</v>
      </c>
      <c r="B170" s="10" t="s">
        <v>1099</v>
      </c>
      <c r="C170" s="10" t="s">
        <v>1455</v>
      </c>
      <c r="D170" s="10" t="s">
        <v>1124</v>
      </c>
      <c r="E170" s="10" t="s">
        <v>162</v>
      </c>
      <c r="F170" s="14" t="n">
        <f aca="false">Guidance_Accuracy!F37</f>
        <v>-22</v>
      </c>
      <c r="G170" s="12" t="n">
        <v>-22</v>
      </c>
      <c r="H170" s="10" t="n">
        <f aca="false">F170-G170</f>
        <v>0</v>
      </c>
      <c r="I170" s="10" t="str">
        <f aca="false">IF(ABS(H170)&lt;=0.000001,"PASS","FAIL")</f>
        <v>PASS</v>
      </c>
      <c r="J170" s="10" t="s">
        <v>1130</v>
      </c>
    </row>
    <row r="171" customFormat="false" ht="15" hidden="false" customHeight="false" outlineLevel="0" collapsed="false">
      <c r="A171" s="10" t="s">
        <v>1456</v>
      </c>
      <c r="B171" s="10" t="s">
        <v>1099</v>
      </c>
      <c r="C171" s="10" t="s">
        <v>1457</v>
      </c>
      <c r="D171" s="10" t="s">
        <v>1124</v>
      </c>
      <c r="E171" s="10" t="s">
        <v>162</v>
      </c>
      <c r="F171" s="14" t="n">
        <f aca="false">Guidance_Accuracy!G37</f>
        <v>-20</v>
      </c>
      <c r="G171" s="12" t="n">
        <v>-20</v>
      </c>
      <c r="H171" s="10" t="n">
        <f aca="false">F171-G171</f>
        <v>0</v>
      </c>
      <c r="I171" s="10" t="str">
        <f aca="false">IF(ABS(H171)&lt;=0.000001,"PASS","FAIL")</f>
        <v>PASS</v>
      </c>
      <c r="J171" s="10" t="s">
        <v>1133</v>
      </c>
    </row>
    <row r="172" customFormat="false" ht="15" hidden="false" customHeight="false" outlineLevel="0" collapsed="false">
      <c r="A172" s="10" t="s">
        <v>1458</v>
      </c>
      <c r="B172" s="10" t="s">
        <v>1100</v>
      </c>
      <c r="C172" s="10" t="s">
        <v>1459</v>
      </c>
      <c r="D172" s="10" t="s">
        <v>1136</v>
      </c>
      <c r="E172" s="10" t="s">
        <v>163</v>
      </c>
      <c r="F172" s="22" t="n">
        <f aca="false">Guidance_Accuracy!I37</f>
        <v>14278</v>
      </c>
      <c r="G172" s="12" t="n">
        <v>14278</v>
      </c>
      <c r="H172" s="10" t="n">
        <f aca="false">F172-G172</f>
        <v>0</v>
      </c>
      <c r="I172" s="10" t="str">
        <f aca="false">IF(ABS(H172)&lt;=0.000001,"PASS","FAIL")</f>
        <v>PASS</v>
      </c>
      <c r="J172" s="10" t="s">
        <v>1460</v>
      </c>
    </row>
    <row r="173" customFormat="false" ht="15" hidden="false" customHeight="false" outlineLevel="0" collapsed="false">
      <c r="A173" s="10" t="s">
        <v>1461</v>
      </c>
      <c r="B173" s="10" t="s">
        <v>1101</v>
      </c>
      <c r="C173" s="10" t="s">
        <v>1462</v>
      </c>
      <c r="D173" s="10" t="s">
        <v>1136</v>
      </c>
      <c r="E173" s="10" t="s">
        <v>82</v>
      </c>
      <c r="F173" s="25" t="n">
        <f aca="false">Guidance_Accuracy!S37</f>
        <v>-300</v>
      </c>
      <c r="G173" s="12" t="n">
        <v>-300</v>
      </c>
      <c r="H173" s="10" t="n">
        <f aca="false">F173-G173</f>
        <v>0</v>
      </c>
      <c r="I173" s="10" t="str">
        <f aca="false">IF(ABS(H173)&lt;=0.000001,"PASS","FAIL")</f>
        <v>PASS</v>
      </c>
      <c r="J173" s="10" t="s">
        <v>1204</v>
      </c>
    </row>
    <row r="174" customFormat="false" ht="15" hidden="false" customHeight="false" outlineLevel="0" collapsed="false">
      <c r="A174" s="10" t="s">
        <v>1463</v>
      </c>
      <c r="B174" s="10" t="s">
        <v>1099</v>
      </c>
      <c r="C174" s="10" t="s">
        <v>1464</v>
      </c>
      <c r="D174" s="10" t="s">
        <v>1124</v>
      </c>
      <c r="E174" s="10" t="s">
        <v>164</v>
      </c>
      <c r="F174" s="24" t="n">
        <f aca="false">Guidance_Accuracy!D38</f>
        <v>44970</v>
      </c>
      <c r="G174" s="11" t="n">
        <v>44970</v>
      </c>
      <c r="H174" s="10" t="n">
        <f aca="false">F174-G174</f>
        <v>0</v>
      </c>
      <c r="I174" s="10" t="str">
        <f aca="false">IF(ABS(H174)&lt;=0.000001,"PASS","FAIL")</f>
        <v>PASS</v>
      </c>
      <c r="J174" s="10" t="s">
        <v>1125</v>
      </c>
    </row>
    <row r="175" customFormat="false" ht="15" hidden="false" customHeight="false" outlineLevel="0" collapsed="false">
      <c r="A175" s="10" t="s">
        <v>1465</v>
      </c>
      <c r="B175" s="10" t="s">
        <v>1099</v>
      </c>
      <c r="C175" s="10" t="s">
        <v>1466</v>
      </c>
      <c r="D175" s="10" t="s">
        <v>1124</v>
      </c>
      <c r="E175" s="10" t="s">
        <v>164</v>
      </c>
      <c r="F175" s="10" t="str">
        <f aca="false">Guidance_Accuracy!E38</f>
        <v>Non-GAAP operating income (loss)</v>
      </c>
      <c r="G175" s="12" t="s">
        <v>151</v>
      </c>
      <c r="H175" s="10" t="n">
        <f aca="false">IF(EXACT(F175,G175),0,1)</f>
        <v>0</v>
      </c>
      <c r="I175" s="10" t="str">
        <f aca="false">IF(ABS(H175)&lt;=0.000001,"PASS","FAIL")</f>
        <v>PASS</v>
      </c>
      <c r="J175" s="10" t="s">
        <v>29</v>
      </c>
    </row>
    <row r="176" customFormat="false" ht="15" hidden="false" customHeight="false" outlineLevel="0" collapsed="false">
      <c r="A176" s="10" t="s">
        <v>1467</v>
      </c>
      <c r="B176" s="10" t="s">
        <v>1099</v>
      </c>
      <c r="C176" s="10" t="s">
        <v>1468</v>
      </c>
      <c r="D176" s="10" t="s">
        <v>1124</v>
      </c>
      <c r="E176" s="10" t="s">
        <v>164</v>
      </c>
      <c r="F176" s="14" t="n">
        <f aca="false">Guidance_Accuracy!F38</f>
        <v>-19</v>
      </c>
      <c r="G176" s="12" t="n">
        <v>-19</v>
      </c>
      <c r="H176" s="10" t="n">
        <f aca="false">F176-G176</f>
        <v>0</v>
      </c>
      <c r="I176" s="10" t="str">
        <f aca="false">IF(ABS(H176)&lt;=0.000001,"PASS","FAIL")</f>
        <v>PASS</v>
      </c>
      <c r="J176" s="10" t="s">
        <v>1130</v>
      </c>
    </row>
    <row r="177" customFormat="false" ht="15" hidden="false" customHeight="false" outlineLevel="0" collapsed="false">
      <c r="A177" s="10" t="s">
        <v>1469</v>
      </c>
      <c r="B177" s="10" t="s">
        <v>1099</v>
      </c>
      <c r="C177" s="10" t="s">
        <v>1470</v>
      </c>
      <c r="D177" s="10" t="s">
        <v>1124</v>
      </c>
      <c r="E177" s="10" t="s">
        <v>164</v>
      </c>
      <c r="F177" s="14" t="n">
        <f aca="false">Guidance_Accuracy!G38</f>
        <v>-17</v>
      </c>
      <c r="G177" s="12" t="n">
        <v>-17</v>
      </c>
      <c r="H177" s="10" t="n">
        <f aca="false">F177-G177</f>
        <v>0</v>
      </c>
      <c r="I177" s="10" t="str">
        <f aca="false">IF(ABS(H177)&lt;=0.000001,"PASS","FAIL")</f>
        <v>PASS</v>
      </c>
      <c r="J177" s="10" t="s">
        <v>1133</v>
      </c>
    </row>
    <row r="178" customFormat="false" ht="15" hidden="false" customHeight="false" outlineLevel="0" collapsed="false">
      <c r="A178" s="10" t="s">
        <v>1471</v>
      </c>
      <c r="B178" s="10" t="s">
        <v>1100</v>
      </c>
      <c r="C178" s="10" t="s">
        <v>1472</v>
      </c>
      <c r="D178" s="10" t="s">
        <v>1136</v>
      </c>
      <c r="E178" s="10" t="s">
        <v>165</v>
      </c>
      <c r="F178" s="22" t="n">
        <f aca="false">Guidance_Accuracy!I38</f>
        <v>-293</v>
      </c>
      <c r="G178" s="12" t="n">
        <v>-293</v>
      </c>
      <c r="H178" s="10" t="n">
        <f aca="false">F178-G178</f>
        <v>0</v>
      </c>
      <c r="I178" s="10" t="str">
        <f aca="false">IF(ABS(H178)&lt;=0.000001,"PASS","FAIL")</f>
        <v>PASS</v>
      </c>
      <c r="J178" s="10" t="s">
        <v>1473</v>
      </c>
    </row>
    <row r="179" customFormat="false" ht="15" hidden="false" customHeight="false" outlineLevel="0" collapsed="false">
      <c r="A179" s="10" t="s">
        <v>1474</v>
      </c>
      <c r="B179" s="10" t="s">
        <v>1101</v>
      </c>
      <c r="C179" s="10" t="s">
        <v>1475</v>
      </c>
      <c r="D179" s="10" t="s">
        <v>1136</v>
      </c>
      <c r="E179" s="10" t="s">
        <v>87</v>
      </c>
      <c r="F179" s="25" t="n">
        <f aca="false">Guidance_Accuracy!S38</f>
        <v>-100</v>
      </c>
      <c r="G179" s="12" t="n">
        <v>-100</v>
      </c>
      <c r="H179" s="10" t="n">
        <f aca="false">F179-G179</f>
        <v>0</v>
      </c>
      <c r="I179" s="10" t="str">
        <f aca="false">IF(ABS(H179)&lt;=0.000001,"PASS","FAIL")</f>
        <v>PASS</v>
      </c>
      <c r="J179" s="10" t="s">
        <v>1218</v>
      </c>
    </row>
    <row r="180" customFormat="false" ht="15" hidden="false" customHeight="false" outlineLevel="0" collapsed="false">
      <c r="A180" s="10" t="s">
        <v>1476</v>
      </c>
      <c r="B180" s="10" t="s">
        <v>1099</v>
      </c>
      <c r="C180" s="10" t="s">
        <v>1477</v>
      </c>
      <c r="D180" s="10" t="s">
        <v>1124</v>
      </c>
      <c r="E180" s="10" t="s">
        <v>166</v>
      </c>
      <c r="F180" s="24" t="n">
        <f aca="false">Guidance_Accuracy!D39</f>
        <v>45061</v>
      </c>
      <c r="G180" s="11" t="n">
        <v>45061</v>
      </c>
      <c r="H180" s="10" t="n">
        <f aca="false">F180-G180</f>
        <v>0</v>
      </c>
      <c r="I180" s="10" t="str">
        <f aca="false">IF(ABS(H180)&lt;=0.000001,"PASS","FAIL")</f>
        <v>PASS</v>
      </c>
      <c r="J180" s="10" t="s">
        <v>1125</v>
      </c>
    </row>
    <row r="181" customFormat="false" ht="15" hidden="false" customHeight="false" outlineLevel="0" collapsed="false">
      <c r="A181" s="10" t="s">
        <v>1478</v>
      </c>
      <c r="B181" s="10" t="s">
        <v>1099</v>
      </c>
      <c r="C181" s="10" t="s">
        <v>1479</v>
      </c>
      <c r="D181" s="10" t="s">
        <v>1124</v>
      </c>
      <c r="E181" s="10" t="s">
        <v>166</v>
      </c>
      <c r="F181" s="10" t="str">
        <f aca="false">Guidance_Accuracy!E39</f>
        <v>Non-GAAP operating income (loss)</v>
      </c>
      <c r="G181" s="12" t="s">
        <v>151</v>
      </c>
      <c r="H181" s="10" t="n">
        <f aca="false">IF(EXACT(F181,G181),0,1)</f>
        <v>0</v>
      </c>
      <c r="I181" s="10" t="str">
        <f aca="false">IF(ABS(H181)&lt;=0.000001,"PASS","FAIL")</f>
        <v>PASS</v>
      </c>
      <c r="J181" s="10" t="s">
        <v>29</v>
      </c>
    </row>
    <row r="182" customFormat="false" ht="15" hidden="false" customHeight="false" outlineLevel="0" collapsed="false">
      <c r="A182" s="10" t="s">
        <v>1480</v>
      </c>
      <c r="B182" s="10" t="s">
        <v>1099</v>
      </c>
      <c r="C182" s="10" t="s">
        <v>1481</v>
      </c>
      <c r="D182" s="10" t="s">
        <v>1124</v>
      </c>
      <c r="E182" s="10" t="s">
        <v>166</v>
      </c>
      <c r="F182" s="14" t="n">
        <f aca="false">Guidance_Accuracy!F39</f>
        <v>2</v>
      </c>
      <c r="G182" s="12" t="n">
        <v>2</v>
      </c>
      <c r="H182" s="10" t="n">
        <f aca="false">F182-G182</f>
        <v>0</v>
      </c>
      <c r="I182" s="10" t="str">
        <f aca="false">IF(ABS(H182)&lt;=0.000001,"PASS","FAIL")</f>
        <v>PASS</v>
      </c>
      <c r="J182" s="10" t="s">
        <v>1130</v>
      </c>
    </row>
    <row r="183" customFormat="false" ht="15" hidden="false" customHeight="false" outlineLevel="0" collapsed="false">
      <c r="A183" s="10" t="s">
        <v>1482</v>
      </c>
      <c r="B183" s="10" t="s">
        <v>1099</v>
      </c>
      <c r="C183" s="10" t="s">
        <v>1483</v>
      </c>
      <c r="D183" s="10" t="s">
        <v>1124</v>
      </c>
      <c r="E183" s="10" t="s">
        <v>166</v>
      </c>
      <c r="F183" s="14" t="n">
        <f aca="false">Guidance_Accuracy!G39</f>
        <v>4</v>
      </c>
      <c r="G183" s="12" t="n">
        <v>4</v>
      </c>
      <c r="H183" s="10" t="n">
        <f aca="false">F183-G183</f>
        <v>0</v>
      </c>
      <c r="I183" s="10" t="str">
        <f aca="false">IF(ABS(H183)&lt;=0.000001,"PASS","FAIL")</f>
        <v>PASS</v>
      </c>
      <c r="J183" s="10" t="s">
        <v>1133</v>
      </c>
    </row>
    <row r="184" customFormat="false" ht="15" hidden="false" customHeight="false" outlineLevel="0" collapsed="false">
      <c r="A184" s="10" t="s">
        <v>1484</v>
      </c>
      <c r="B184" s="10" t="s">
        <v>1100</v>
      </c>
      <c r="C184" s="10" t="s">
        <v>1485</v>
      </c>
      <c r="D184" s="10" t="s">
        <v>1136</v>
      </c>
      <c r="E184" s="10" t="s">
        <v>167</v>
      </c>
      <c r="F184" s="22" t="n">
        <f aca="false">Guidance_Accuracy!I39</f>
        <v>16617</v>
      </c>
      <c r="G184" s="12" t="n">
        <v>16617</v>
      </c>
      <c r="H184" s="10" t="n">
        <f aca="false">F184-G184</f>
        <v>0</v>
      </c>
      <c r="I184" s="10" t="str">
        <f aca="false">IF(ABS(H184)&lt;=0.000001,"PASS","FAIL")</f>
        <v>PASS</v>
      </c>
      <c r="J184" s="10" t="s">
        <v>1486</v>
      </c>
    </row>
    <row r="185" customFormat="false" ht="15" hidden="false" customHeight="false" outlineLevel="0" collapsed="false">
      <c r="A185" s="10" t="s">
        <v>1487</v>
      </c>
      <c r="B185" s="10" t="s">
        <v>1101</v>
      </c>
      <c r="C185" s="10" t="s">
        <v>1488</v>
      </c>
      <c r="D185" s="10" t="s">
        <v>1136</v>
      </c>
      <c r="E185" s="10" t="s">
        <v>92</v>
      </c>
      <c r="F185" s="25" t="n">
        <f aca="false">Guidance_Accuracy!S39</f>
        <v>-100</v>
      </c>
      <c r="G185" s="12" t="n">
        <v>-100</v>
      </c>
      <c r="H185" s="10" t="n">
        <f aca="false">F185-G185</f>
        <v>0</v>
      </c>
      <c r="I185" s="10" t="str">
        <f aca="false">IF(ABS(H185)&lt;=0.000001,"PASS","FAIL")</f>
        <v>PASS</v>
      </c>
      <c r="J185" s="10" t="s">
        <v>1232</v>
      </c>
    </row>
    <row r="186" customFormat="false" ht="15" hidden="false" customHeight="false" outlineLevel="0" collapsed="false">
      <c r="A186" s="10" t="s">
        <v>1489</v>
      </c>
      <c r="B186" s="10" t="s">
        <v>1099</v>
      </c>
      <c r="C186" s="10" t="s">
        <v>1490</v>
      </c>
      <c r="D186" s="10" t="s">
        <v>1124</v>
      </c>
      <c r="E186" s="10" t="s">
        <v>168</v>
      </c>
      <c r="F186" s="24" t="n">
        <f aca="false">Guidance_Accuracy!D40</f>
        <v>45152</v>
      </c>
      <c r="G186" s="11" t="n">
        <v>45152</v>
      </c>
      <c r="H186" s="10" t="n">
        <f aca="false">F186-G186</f>
        <v>0</v>
      </c>
      <c r="I186" s="10" t="str">
        <f aca="false">IF(ABS(H186)&lt;=0.000001,"PASS","FAIL")</f>
        <v>PASS</v>
      </c>
      <c r="J186" s="10" t="s">
        <v>1125</v>
      </c>
    </row>
    <row r="187" customFormat="false" ht="15" hidden="false" customHeight="false" outlineLevel="0" collapsed="false">
      <c r="A187" s="10" t="s">
        <v>1491</v>
      </c>
      <c r="B187" s="10" t="s">
        <v>1099</v>
      </c>
      <c r="C187" s="10" t="s">
        <v>1492</v>
      </c>
      <c r="D187" s="10" t="s">
        <v>1124</v>
      </c>
      <c r="E187" s="10" t="s">
        <v>168</v>
      </c>
      <c r="F187" s="10" t="str">
        <f aca="false">Guidance_Accuracy!E40</f>
        <v>Non-GAAP operating income (loss)</v>
      </c>
      <c r="G187" s="12" t="s">
        <v>151</v>
      </c>
      <c r="H187" s="10" t="n">
        <f aca="false">IF(EXACT(F187,G187),0,1)</f>
        <v>0</v>
      </c>
      <c r="I187" s="10" t="str">
        <f aca="false">IF(ABS(H187)&lt;=0.000001,"PASS","FAIL")</f>
        <v>PASS</v>
      </c>
      <c r="J187" s="10" t="s">
        <v>29</v>
      </c>
    </row>
    <row r="188" customFormat="false" ht="15" hidden="false" customHeight="false" outlineLevel="0" collapsed="false">
      <c r="A188" s="10" t="s">
        <v>1493</v>
      </c>
      <c r="B188" s="10" t="s">
        <v>1099</v>
      </c>
      <c r="C188" s="10" t="s">
        <v>1494</v>
      </c>
      <c r="D188" s="10" t="s">
        <v>1124</v>
      </c>
      <c r="E188" s="10" t="s">
        <v>168</v>
      </c>
      <c r="F188" s="14" t="n">
        <f aca="false">Guidance_Accuracy!F40</f>
        <v>4</v>
      </c>
      <c r="G188" s="12" t="n">
        <v>4</v>
      </c>
      <c r="H188" s="10" t="n">
        <f aca="false">F188-G188</f>
        <v>0</v>
      </c>
      <c r="I188" s="10" t="str">
        <f aca="false">IF(ABS(H188)&lt;=0.000001,"PASS","FAIL")</f>
        <v>PASS</v>
      </c>
      <c r="J188" s="10" t="s">
        <v>1130</v>
      </c>
    </row>
    <row r="189" customFormat="false" ht="15" hidden="false" customHeight="false" outlineLevel="0" collapsed="false">
      <c r="A189" s="10" t="s">
        <v>1495</v>
      </c>
      <c r="B189" s="10" t="s">
        <v>1099</v>
      </c>
      <c r="C189" s="10" t="s">
        <v>1496</v>
      </c>
      <c r="D189" s="10" t="s">
        <v>1124</v>
      </c>
      <c r="E189" s="10" t="s">
        <v>168</v>
      </c>
      <c r="F189" s="14" t="n">
        <f aca="false">Guidance_Accuracy!G40</f>
        <v>6</v>
      </c>
      <c r="G189" s="12" t="n">
        <v>6</v>
      </c>
      <c r="H189" s="10" t="n">
        <f aca="false">F189-G189</f>
        <v>0</v>
      </c>
      <c r="I189" s="10" t="str">
        <f aca="false">IF(ABS(H189)&lt;=0.000001,"PASS","FAIL")</f>
        <v>PASS</v>
      </c>
      <c r="J189" s="10" t="s">
        <v>1133</v>
      </c>
    </row>
    <row r="190" customFormat="false" ht="15" hidden="false" customHeight="false" outlineLevel="0" collapsed="false">
      <c r="A190" s="10" t="s">
        <v>1497</v>
      </c>
      <c r="B190" s="10" t="s">
        <v>1100</v>
      </c>
      <c r="C190" s="10" t="s">
        <v>1498</v>
      </c>
      <c r="D190" s="10" t="s">
        <v>1136</v>
      </c>
      <c r="E190" s="10" t="s">
        <v>169</v>
      </c>
      <c r="F190" s="22" t="n">
        <f aca="false">Guidance_Accuracy!I40</f>
        <v>24077</v>
      </c>
      <c r="G190" s="12" t="n">
        <v>24077</v>
      </c>
      <c r="H190" s="10" t="n">
        <f aca="false">F190-G190</f>
        <v>0</v>
      </c>
      <c r="I190" s="10" t="str">
        <f aca="false">IF(ABS(H190)&lt;=0.000001,"PASS","FAIL")</f>
        <v>PASS</v>
      </c>
      <c r="J190" s="10" t="s">
        <v>1499</v>
      </c>
    </row>
    <row r="191" customFormat="false" ht="15" hidden="false" customHeight="false" outlineLevel="0" collapsed="false">
      <c r="A191" s="10" t="s">
        <v>1500</v>
      </c>
      <c r="B191" s="10" t="s">
        <v>1101</v>
      </c>
      <c r="C191" s="10" t="s">
        <v>1501</v>
      </c>
      <c r="D191" s="10" t="s">
        <v>1136</v>
      </c>
      <c r="E191" s="10" t="s">
        <v>97</v>
      </c>
      <c r="F191" s="25" t="n">
        <f aca="false">Guidance_Accuracy!S40</f>
        <v>0</v>
      </c>
      <c r="G191" s="12" t="n">
        <v>0</v>
      </c>
      <c r="H191" s="10" t="n">
        <f aca="false">F191-G191</f>
        <v>0</v>
      </c>
      <c r="I191" s="10" t="str">
        <f aca="false">IF(ABS(H191)&lt;=0.000001,"PASS","FAIL")</f>
        <v>PASS</v>
      </c>
      <c r="J191" s="10" t="s">
        <v>1246</v>
      </c>
    </row>
    <row r="192" customFormat="false" ht="15" hidden="false" customHeight="false" outlineLevel="0" collapsed="false">
      <c r="A192" s="10" t="s">
        <v>1502</v>
      </c>
      <c r="B192" s="10" t="s">
        <v>1099</v>
      </c>
      <c r="C192" s="10" t="s">
        <v>1503</v>
      </c>
      <c r="D192" s="10" t="s">
        <v>1124</v>
      </c>
      <c r="E192" s="10" t="s">
        <v>170</v>
      </c>
      <c r="F192" s="24" t="n">
        <f aca="false">Guidance_Accuracy!D41</f>
        <v>45243</v>
      </c>
      <c r="G192" s="11" t="n">
        <v>45243</v>
      </c>
      <c r="H192" s="10" t="n">
        <f aca="false">F192-G192</f>
        <v>0</v>
      </c>
      <c r="I192" s="10" t="str">
        <f aca="false">IF(ABS(H192)&lt;=0.000001,"PASS","FAIL")</f>
        <v>PASS</v>
      </c>
      <c r="J192" s="10" t="s">
        <v>1125</v>
      </c>
    </row>
    <row r="193" customFormat="false" ht="15" hidden="false" customHeight="false" outlineLevel="0" collapsed="false">
      <c r="A193" s="10" t="s">
        <v>1504</v>
      </c>
      <c r="B193" s="10" t="s">
        <v>1099</v>
      </c>
      <c r="C193" s="10" t="s">
        <v>1505</v>
      </c>
      <c r="D193" s="10" t="s">
        <v>1124</v>
      </c>
      <c r="E193" s="10" t="s">
        <v>170</v>
      </c>
      <c r="F193" s="10" t="str">
        <f aca="false">Guidance_Accuracy!E41</f>
        <v>Non-GAAP operating income (loss)</v>
      </c>
      <c r="G193" s="12" t="s">
        <v>151</v>
      </c>
      <c r="H193" s="10" t="n">
        <f aca="false">IF(EXACT(F193,G193),0,1)</f>
        <v>0</v>
      </c>
      <c r="I193" s="10" t="str">
        <f aca="false">IF(ABS(H193)&lt;=0.000001,"PASS","FAIL")</f>
        <v>PASS</v>
      </c>
      <c r="J193" s="10" t="s">
        <v>29</v>
      </c>
    </row>
    <row r="194" customFormat="false" ht="15" hidden="false" customHeight="false" outlineLevel="0" collapsed="false">
      <c r="A194" s="10" t="s">
        <v>1506</v>
      </c>
      <c r="B194" s="10" t="s">
        <v>1099</v>
      </c>
      <c r="C194" s="10" t="s">
        <v>1507</v>
      </c>
      <c r="D194" s="10" t="s">
        <v>1124</v>
      </c>
      <c r="E194" s="10" t="s">
        <v>170</v>
      </c>
      <c r="F194" s="14" t="n">
        <f aca="false">Guidance_Accuracy!F41</f>
        <v>7</v>
      </c>
      <c r="G194" s="12" t="n">
        <v>7</v>
      </c>
      <c r="H194" s="10" t="n">
        <f aca="false">F194-G194</f>
        <v>0</v>
      </c>
      <c r="I194" s="10" t="str">
        <f aca="false">IF(ABS(H194)&lt;=0.000001,"PASS","FAIL")</f>
        <v>PASS</v>
      </c>
      <c r="J194" s="10" t="s">
        <v>1130</v>
      </c>
    </row>
    <row r="195" customFormat="false" ht="15" hidden="false" customHeight="false" outlineLevel="0" collapsed="false">
      <c r="A195" s="10" t="s">
        <v>1508</v>
      </c>
      <c r="B195" s="10" t="s">
        <v>1099</v>
      </c>
      <c r="C195" s="10" t="s">
        <v>1509</v>
      </c>
      <c r="D195" s="10" t="s">
        <v>1124</v>
      </c>
      <c r="E195" s="10" t="s">
        <v>170</v>
      </c>
      <c r="F195" s="14" t="n">
        <f aca="false">Guidance_Accuracy!G41</f>
        <v>9</v>
      </c>
      <c r="G195" s="12" t="n">
        <v>9</v>
      </c>
      <c r="H195" s="10" t="n">
        <f aca="false">F195-G195</f>
        <v>0</v>
      </c>
      <c r="I195" s="10" t="str">
        <f aca="false">IF(ABS(H195)&lt;=0.000001,"PASS","FAIL")</f>
        <v>PASS</v>
      </c>
      <c r="J195" s="10" t="s">
        <v>1133</v>
      </c>
    </row>
    <row r="196" customFormat="false" ht="15" hidden="false" customHeight="false" outlineLevel="0" collapsed="false">
      <c r="A196" s="10" t="s">
        <v>1510</v>
      </c>
      <c r="B196" s="10" t="s">
        <v>1100</v>
      </c>
      <c r="C196" s="10" t="s">
        <v>1511</v>
      </c>
      <c r="D196" s="10" t="s">
        <v>1136</v>
      </c>
      <c r="E196" s="10" t="s">
        <v>171</v>
      </c>
      <c r="F196" s="22" t="n">
        <f aca="false">Guidance_Accuracy!I41</f>
        <v>21200</v>
      </c>
      <c r="G196" s="12" t="n">
        <v>21200</v>
      </c>
      <c r="H196" s="10" t="n">
        <f aca="false">F196-G196</f>
        <v>0</v>
      </c>
      <c r="I196" s="10" t="str">
        <f aca="false">IF(ABS(H196)&lt;=0.000001,"PASS","FAIL")</f>
        <v>PASS</v>
      </c>
      <c r="J196" s="10" t="s">
        <v>1512</v>
      </c>
    </row>
    <row r="197" customFormat="false" ht="15" hidden="false" customHeight="false" outlineLevel="0" collapsed="false">
      <c r="A197" s="10" t="s">
        <v>1513</v>
      </c>
      <c r="B197" s="10" t="s">
        <v>1101</v>
      </c>
      <c r="C197" s="10" t="s">
        <v>1514</v>
      </c>
      <c r="D197" s="10" t="s">
        <v>1136</v>
      </c>
      <c r="E197" s="10" t="s">
        <v>102</v>
      </c>
      <c r="F197" s="25" t="n">
        <f aca="false">Guidance_Accuracy!S41</f>
        <v>0</v>
      </c>
      <c r="G197" s="12" t="n">
        <v>0</v>
      </c>
      <c r="H197" s="10" t="n">
        <f aca="false">F197-G197</f>
        <v>0</v>
      </c>
      <c r="I197" s="10" t="str">
        <f aca="false">IF(ABS(H197)&lt;=0.000001,"PASS","FAIL")</f>
        <v>PASS</v>
      </c>
      <c r="J197" s="10" t="s">
        <v>1260</v>
      </c>
    </row>
    <row r="198" customFormat="false" ht="15" hidden="false" customHeight="false" outlineLevel="0" collapsed="false">
      <c r="A198" s="10" t="s">
        <v>1515</v>
      </c>
      <c r="B198" s="10" t="s">
        <v>1099</v>
      </c>
      <c r="C198" s="10" t="s">
        <v>1516</v>
      </c>
      <c r="D198" s="10" t="s">
        <v>1124</v>
      </c>
      <c r="E198" s="10" t="s">
        <v>172</v>
      </c>
      <c r="F198" s="24" t="n">
        <f aca="false">Guidance_Accuracy!D42</f>
        <v>45334</v>
      </c>
      <c r="G198" s="11" t="n">
        <v>45334</v>
      </c>
      <c r="H198" s="10" t="n">
        <f aca="false">F198-G198</f>
        <v>0</v>
      </c>
      <c r="I198" s="10" t="str">
        <f aca="false">IF(ABS(H198)&lt;=0.000001,"PASS","FAIL")</f>
        <v>PASS</v>
      </c>
      <c r="J198" s="10" t="s">
        <v>1125</v>
      </c>
    </row>
    <row r="199" customFormat="false" ht="15" hidden="false" customHeight="false" outlineLevel="0" collapsed="false">
      <c r="A199" s="10" t="s">
        <v>1517</v>
      </c>
      <c r="B199" s="10" t="s">
        <v>1099</v>
      </c>
      <c r="C199" s="10" t="s">
        <v>1518</v>
      </c>
      <c r="D199" s="10" t="s">
        <v>1124</v>
      </c>
      <c r="E199" s="10" t="s">
        <v>172</v>
      </c>
      <c r="F199" s="10" t="str">
        <f aca="false">Guidance_Accuracy!E42</f>
        <v>Non-GAAP operating income (loss)</v>
      </c>
      <c r="G199" s="12" t="s">
        <v>151</v>
      </c>
      <c r="H199" s="10" t="n">
        <f aca="false">IF(EXACT(F199,G199),0,1)</f>
        <v>0</v>
      </c>
      <c r="I199" s="10" t="str">
        <f aca="false">IF(ABS(H199)&lt;=0.000001,"PASS","FAIL")</f>
        <v>PASS</v>
      </c>
      <c r="J199" s="10" t="s">
        <v>29</v>
      </c>
    </row>
    <row r="200" customFormat="false" ht="15" hidden="false" customHeight="false" outlineLevel="0" collapsed="false">
      <c r="A200" s="10" t="s">
        <v>1519</v>
      </c>
      <c r="B200" s="10" t="s">
        <v>1099</v>
      </c>
      <c r="C200" s="10" t="s">
        <v>1520</v>
      </c>
      <c r="D200" s="10" t="s">
        <v>1124</v>
      </c>
      <c r="E200" s="10" t="s">
        <v>172</v>
      </c>
      <c r="F200" s="14" t="n">
        <f aca="false">Guidance_Accuracy!F42</f>
        <v>8</v>
      </c>
      <c r="G200" s="12" t="n">
        <v>8</v>
      </c>
      <c r="H200" s="10" t="n">
        <f aca="false">F200-G200</f>
        <v>0</v>
      </c>
      <c r="I200" s="10" t="str">
        <f aca="false">IF(ABS(H200)&lt;=0.000001,"PASS","FAIL")</f>
        <v>PASS</v>
      </c>
      <c r="J200" s="10" t="s">
        <v>1130</v>
      </c>
    </row>
    <row r="201" customFormat="false" ht="15" hidden="false" customHeight="false" outlineLevel="0" collapsed="false">
      <c r="A201" s="10" t="s">
        <v>1521</v>
      </c>
      <c r="B201" s="10" t="s">
        <v>1099</v>
      </c>
      <c r="C201" s="10" t="s">
        <v>1522</v>
      </c>
      <c r="D201" s="10" t="s">
        <v>1124</v>
      </c>
      <c r="E201" s="10" t="s">
        <v>172</v>
      </c>
      <c r="F201" s="14" t="n">
        <f aca="false">Guidance_Accuracy!G42</f>
        <v>12</v>
      </c>
      <c r="G201" s="12" t="n">
        <v>12</v>
      </c>
      <c r="H201" s="10" t="n">
        <f aca="false">F201-G201</f>
        <v>0</v>
      </c>
      <c r="I201" s="10" t="str">
        <f aca="false">IF(ABS(H201)&lt;=0.000001,"PASS","FAIL")</f>
        <v>PASS</v>
      </c>
      <c r="J201" s="10" t="s">
        <v>1133</v>
      </c>
    </row>
    <row r="202" customFormat="false" ht="15" hidden="false" customHeight="false" outlineLevel="0" collapsed="false">
      <c r="A202" s="10" t="s">
        <v>1523</v>
      </c>
      <c r="B202" s="10" t="s">
        <v>1100</v>
      </c>
      <c r="C202" s="10" t="s">
        <v>1524</v>
      </c>
      <c r="D202" s="10" t="s">
        <v>1136</v>
      </c>
      <c r="E202" s="10" t="s">
        <v>173</v>
      </c>
      <c r="F202" s="22" t="n">
        <f aca="false">Guidance_Accuracy!I42</f>
        <v>21521</v>
      </c>
      <c r="G202" s="12" t="n">
        <v>21521</v>
      </c>
      <c r="H202" s="10" t="n">
        <f aca="false">F202-G202</f>
        <v>0</v>
      </c>
      <c r="I202" s="10" t="str">
        <f aca="false">IF(ABS(H202)&lt;=0.000001,"PASS","FAIL")</f>
        <v>PASS</v>
      </c>
      <c r="J202" s="10" t="s">
        <v>1525</v>
      </c>
    </row>
    <row r="203" customFormat="false" ht="15" hidden="false" customHeight="false" outlineLevel="0" collapsed="false">
      <c r="A203" s="10" t="s">
        <v>1526</v>
      </c>
      <c r="B203" s="10" t="s">
        <v>1101</v>
      </c>
      <c r="C203" s="10" t="s">
        <v>1527</v>
      </c>
      <c r="D203" s="10" t="s">
        <v>1136</v>
      </c>
      <c r="E203" s="10" t="s">
        <v>107</v>
      </c>
      <c r="F203" s="25" t="n">
        <f aca="false">Guidance_Accuracy!S42</f>
        <v>0</v>
      </c>
      <c r="G203" s="12" t="n">
        <v>0</v>
      </c>
      <c r="H203" s="10" t="n">
        <f aca="false">F203-G203</f>
        <v>0</v>
      </c>
      <c r="I203" s="10" t="str">
        <f aca="false">IF(ABS(H203)&lt;=0.000001,"PASS","FAIL")</f>
        <v>PASS</v>
      </c>
      <c r="J203" s="10" t="s">
        <v>1274</v>
      </c>
    </row>
    <row r="204" customFormat="false" ht="15" hidden="false" customHeight="false" outlineLevel="0" collapsed="false">
      <c r="A204" s="10" t="s">
        <v>1528</v>
      </c>
      <c r="B204" s="10" t="s">
        <v>1099</v>
      </c>
      <c r="C204" s="10" t="s">
        <v>1529</v>
      </c>
      <c r="D204" s="10" t="s">
        <v>1124</v>
      </c>
      <c r="E204" s="10" t="s">
        <v>174</v>
      </c>
      <c r="F204" s="24" t="n">
        <f aca="false">Guidance_Accuracy!D43</f>
        <v>45427</v>
      </c>
      <c r="G204" s="11" t="n">
        <v>45427</v>
      </c>
      <c r="H204" s="10" t="n">
        <f aca="false">F204-G204</f>
        <v>0</v>
      </c>
      <c r="I204" s="10" t="str">
        <f aca="false">IF(ABS(H204)&lt;=0.000001,"PASS","FAIL")</f>
        <v>PASS</v>
      </c>
      <c r="J204" s="10" t="s">
        <v>1125</v>
      </c>
    </row>
    <row r="205" customFormat="false" ht="15" hidden="false" customHeight="false" outlineLevel="0" collapsed="false">
      <c r="A205" s="10" t="s">
        <v>1530</v>
      </c>
      <c r="B205" s="10" t="s">
        <v>1099</v>
      </c>
      <c r="C205" s="10" t="s">
        <v>1531</v>
      </c>
      <c r="D205" s="10" t="s">
        <v>1124</v>
      </c>
      <c r="E205" s="10" t="s">
        <v>174</v>
      </c>
      <c r="F205" s="10" t="str">
        <f aca="false">Guidance_Accuracy!E43</f>
        <v>Non-GAAP operating income (loss)</v>
      </c>
      <c r="G205" s="12" t="s">
        <v>151</v>
      </c>
      <c r="H205" s="10" t="n">
        <f aca="false">IF(EXACT(F205,G205),0,1)</f>
        <v>0</v>
      </c>
      <c r="I205" s="10" t="str">
        <f aca="false">IF(ABS(H205)&lt;=0.000001,"PASS","FAIL")</f>
        <v>PASS</v>
      </c>
      <c r="J205" s="10" t="s">
        <v>29</v>
      </c>
    </row>
    <row r="206" customFormat="false" ht="15" hidden="false" customHeight="false" outlineLevel="0" collapsed="false">
      <c r="A206" s="10" t="s">
        <v>1532</v>
      </c>
      <c r="B206" s="10" t="s">
        <v>1099</v>
      </c>
      <c r="C206" s="10" t="s">
        <v>1533</v>
      </c>
      <c r="D206" s="10" t="s">
        <v>1124</v>
      </c>
      <c r="E206" s="10" t="s">
        <v>174</v>
      </c>
      <c r="F206" s="14" t="n">
        <f aca="false">Guidance_Accuracy!F43</f>
        <v>17</v>
      </c>
      <c r="G206" s="12" t="n">
        <v>17</v>
      </c>
      <c r="H206" s="10" t="n">
        <f aca="false">F206-G206</f>
        <v>0</v>
      </c>
      <c r="I206" s="10" t="str">
        <f aca="false">IF(ABS(H206)&lt;=0.000001,"PASS","FAIL")</f>
        <v>PASS</v>
      </c>
      <c r="J206" s="10" t="s">
        <v>1130</v>
      </c>
    </row>
    <row r="207" customFormat="false" ht="15" hidden="false" customHeight="false" outlineLevel="0" collapsed="false">
      <c r="A207" s="10" t="s">
        <v>1534</v>
      </c>
      <c r="B207" s="10" t="s">
        <v>1099</v>
      </c>
      <c r="C207" s="10" t="s">
        <v>1535</v>
      </c>
      <c r="D207" s="10" t="s">
        <v>1124</v>
      </c>
      <c r="E207" s="10" t="s">
        <v>174</v>
      </c>
      <c r="F207" s="14" t="n">
        <f aca="false">Guidance_Accuracy!G43</f>
        <v>21</v>
      </c>
      <c r="G207" s="12" t="n">
        <v>21</v>
      </c>
      <c r="H207" s="10" t="n">
        <f aca="false">F207-G207</f>
        <v>0</v>
      </c>
      <c r="I207" s="10" t="str">
        <f aca="false">IF(ABS(H207)&lt;=0.000001,"PASS","FAIL")</f>
        <v>PASS</v>
      </c>
      <c r="J207" s="10" t="s">
        <v>1133</v>
      </c>
    </row>
    <row r="208" customFormat="false" ht="15" hidden="false" customHeight="false" outlineLevel="0" collapsed="false">
      <c r="A208" s="10" t="s">
        <v>1536</v>
      </c>
      <c r="B208" s="10" t="s">
        <v>1100</v>
      </c>
      <c r="C208" s="10" t="s">
        <v>1537</v>
      </c>
      <c r="D208" s="10" t="s">
        <v>1136</v>
      </c>
      <c r="E208" s="10" t="s">
        <v>175</v>
      </c>
      <c r="F208" s="22" t="n">
        <f aca="false">Guidance_Accuracy!I43</f>
        <v>38417</v>
      </c>
      <c r="G208" s="12" t="n">
        <v>38417</v>
      </c>
      <c r="H208" s="10" t="n">
        <f aca="false">F208-G208</f>
        <v>0</v>
      </c>
      <c r="I208" s="10" t="str">
        <f aca="false">IF(ABS(H208)&lt;=0.000001,"PASS","FAIL")</f>
        <v>PASS</v>
      </c>
      <c r="J208" s="10" t="s">
        <v>1538</v>
      </c>
    </row>
    <row r="209" customFormat="false" ht="15" hidden="false" customHeight="false" outlineLevel="0" collapsed="false">
      <c r="A209" s="10" t="s">
        <v>1539</v>
      </c>
      <c r="B209" s="10" t="s">
        <v>1101</v>
      </c>
      <c r="C209" s="10" t="s">
        <v>1540</v>
      </c>
      <c r="D209" s="10" t="s">
        <v>1136</v>
      </c>
      <c r="E209" s="10" t="s">
        <v>112</v>
      </c>
      <c r="F209" s="25" t="n">
        <f aca="false">Guidance_Accuracy!S43</f>
        <v>0</v>
      </c>
      <c r="G209" s="12" t="n">
        <v>0</v>
      </c>
      <c r="H209" s="10" t="n">
        <f aca="false">F209-G209</f>
        <v>0</v>
      </c>
      <c r="I209" s="10" t="str">
        <f aca="false">IF(ABS(H209)&lt;=0.000001,"PASS","FAIL")</f>
        <v>PASS</v>
      </c>
      <c r="J209" s="10" t="s">
        <v>1288</v>
      </c>
    </row>
    <row r="210" customFormat="false" ht="15" hidden="false" customHeight="false" outlineLevel="0" collapsed="false">
      <c r="A210" s="10" t="s">
        <v>1541</v>
      </c>
      <c r="B210" s="10" t="s">
        <v>1099</v>
      </c>
      <c r="C210" s="10" t="s">
        <v>1542</v>
      </c>
      <c r="D210" s="10" t="s">
        <v>1124</v>
      </c>
      <c r="E210" s="10" t="s">
        <v>176</v>
      </c>
      <c r="F210" s="24" t="n">
        <f aca="false">Guidance_Accuracy!D44</f>
        <v>45516</v>
      </c>
      <c r="G210" s="11" t="n">
        <v>45516</v>
      </c>
      <c r="H210" s="10" t="n">
        <f aca="false">F210-G210</f>
        <v>0</v>
      </c>
      <c r="I210" s="10" t="str">
        <f aca="false">IF(ABS(H210)&lt;=0.000001,"PASS","FAIL")</f>
        <v>PASS</v>
      </c>
      <c r="J210" s="10" t="s">
        <v>1125</v>
      </c>
    </row>
    <row r="211" customFormat="false" ht="15" hidden="false" customHeight="false" outlineLevel="0" collapsed="false">
      <c r="A211" s="10" t="s">
        <v>1543</v>
      </c>
      <c r="B211" s="10" t="s">
        <v>1099</v>
      </c>
      <c r="C211" s="10" t="s">
        <v>1544</v>
      </c>
      <c r="D211" s="10" t="s">
        <v>1124</v>
      </c>
      <c r="E211" s="10" t="s">
        <v>176</v>
      </c>
      <c r="F211" s="10" t="str">
        <f aca="false">Guidance_Accuracy!E44</f>
        <v>Non-GAAP operating income (loss)</v>
      </c>
      <c r="G211" s="12" t="s">
        <v>151</v>
      </c>
      <c r="H211" s="10" t="n">
        <f aca="false">IF(EXACT(F211,G211),0,1)</f>
        <v>0</v>
      </c>
      <c r="I211" s="10" t="str">
        <f aca="false">IF(ABS(H211)&lt;=0.000001,"PASS","FAIL")</f>
        <v>PASS</v>
      </c>
      <c r="J211" s="10" t="s">
        <v>29</v>
      </c>
    </row>
    <row r="212" customFormat="false" ht="15" hidden="false" customHeight="false" outlineLevel="0" collapsed="false">
      <c r="A212" s="10" t="s">
        <v>1545</v>
      </c>
      <c r="B212" s="10" t="s">
        <v>1099</v>
      </c>
      <c r="C212" s="10" t="s">
        <v>1546</v>
      </c>
      <c r="D212" s="10" t="s">
        <v>1124</v>
      </c>
      <c r="E212" s="10" t="s">
        <v>176</v>
      </c>
      <c r="F212" s="14" t="n">
        <f aca="false">Guidance_Accuracy!F44</f>
        <v>19</v>
      </c>
      <c r="G212" s="12" t="n">
        <v>19</v>
      </c>
      <c r="H212" s="10" t="n">
        <f aca="false">F212-G212</f>
        <v>0</v>
      </c>
      <c r="I212" s="10" t="str">
        <f aca="false">IF(ABS(H212)&lt;=0.000001,"PASS","FAIL")</f>
        <v>PASS</v>
      </c>
      <c r="J212" s="10" t="s">
        <v>1130</v>
      </c>
    </row>
    <row r="213" customFormat="false" ht="15" hidden="false" customHeight="false" outlineLevel="0" collapsed="false">
      <c r="A213" s="10" t="s">
        <v>1547</v>
      </c>
      <c r="B213" s="10" t="s">
        <v>1099</v>
      </c>
      <c r="C213" s="10" t="s">
        <v>1548</v>
      </c>
      <c r="D213" s="10" t="s">
        <v>1124</v>
      </c>
      <c r="E213" s="10" t="s">
        <v>176</v>
      </c>
      <c r="F213" s="14" t="n">
        <f aca="false">Guidance_Accuracy!G44</f>
        <v>23</v>
      </c>
      <c r="G213" s="12" t="n">
        <v>23</v>
      </c>
      <c r="H213" s="10" t="n">
        <f aca="false">F213-G213</f>
        <v>0</v>
      </c>
      <c r="I213" s="10" t="str">
        <f aca="false">IF(ABS(H213)&lt;=0.000001,"PASS","FAIL")</f>
        <v>PASS</v>
      </c>
      <c r="J213" s="10" t="s">
        <v>1133</v>
      </c>
    </row>
    <row r="214" customFormat="false" ht="15" hidden="false" customHeight="false" outlineLevel="0" collapsed="false">
      <c r="A214" s="10" t="s">
        <v>1549</v>
      </c>
      <c r="B214" s="10" t="s">
        <v>1100</v>
      </c>
      <c r="C214" s="10" t="s">
        <v>1550</v>
      </c>
      <c r="D214" s="10" t="s">
        <v>1136</v>
      </c>
      <c r="E214" s="10" t="s">
        <v>177</v>
      </c>
      <c r="F214" s="22" t="n">
        <f aca="false">Guidance_Accuracy!I44</f>
        <v>32180</v>
      </c>
      <c r="G214" s="12" t="n">
        <v>32180</v>
      </c>
      <c r="H214" s="10" t="n">
        <f aca="false">F214-G214</f>
        <v>0</v>
      </c>
      <c r="I214" s="10" t="str">
        <f aca="false">IF(ABS(H214)&lt;=0.000001,"PASS","FAIL")</f>
        <v>PASS</v>
      </c>
      <c r="J214" s="10" t="s">
        <v>1551</v>
      </c>
    </row>
    <row r="215" customFormat="false" ht="15" hidden="false" customHeight="false" outlineLevel="0" collapsed="false">
      <c r="A215" s="10" t="s">
        <v>1552</v>
      </c>
      <c r="B215" s="10" t="s">
        <v>1099</v>
      </c>
      <c r="C215" s="10" t="s">
        <v>1553</v>
      </c>
      <c r="D215" s="10" t="s">
        <v>1124</v>
      </c>
      <c r="E215" s="10" t="s">
        <v>178</v>
      </c>
      <c r="F215" s="24" t="n">
        <f aca="false">Guidance_Accuracy!D45</f>
        <v>45608</v>
      </c>
      <c r="G215" s="11" t="n">
        <v>45608</v>
      </c>
      <c r="H215" s="10" t="n">
        <f aca="false">F215-G215</f>
        <v>0</v>
      </c>
      <c r="I215" s="10" t="str">
        <f aca="false">IF(ABS(H215)&lt;=0.000001,"PASS","FAIL")</f>
        <v>PASS</v>
      </c>
      <c r="J215" s="10" t="s">
        <v>1125</v>
      </c>
    </row>
    <row r="216" customFormat="false" ht="15" hidden="false" customHeight="false" outlineLevel="0" collapsed="false">
      <c r="A216" s="10" t="s">
        <v>1554</v>
      </c>
      <c r="B216" s="10" t="s">
        <v>1099</v>
      </c>
      <c r="C216" s="10" t="s">
        <v>1555</v>
      </c>
      <c r="D216" s="10" t="s">
        <v>1124</v>
      </c>
      <c r="E216" s="10" t="s">
        <v>178</v>
      </c>
      <c r="F216" s="10" t="str">
        <f aca="false">Guidance_Accuracy!E45</f>
        <v>Non-GAAP operating income (loss)</v>
      </c>
      <c r="G216" s="12" t="s">
        <v>151</v>
      </c>
      <c r="H216" s="10" t="n">
        <f aca="false">IF(EXACT(F216,G216),0,1)</f>
        <v>0</v>
      </c>
      <c r="I216" s="10" t="str">
        <f aca="false">IF(ABS(H216)&lt;=0.000001,"PASS","FAIL")</f>
        <v>PASS</v>
      </c>
      <c r="J216" s="10" t="s">
        <v>29</v>
      </c>
    </row>
    <row r="217" customFormat="false" ht="15" hidden="false" customHeight="false" outlineLevel="0" collapsed="false">
      <c r="A217" s="10" t="s">
        <v>1556</v>
      </c>
      <c r="B217" s="10" t="s">
        <v>1099</v>
      </c>
      <c r="C217" s="10" t="s">
        <v>1557</v>
      </c>
      <c r="D217" s="10" t="s">
        <v>1124</v>
      </c>
      <c r="E217" s="10" t="s">
        <v>178</v>
      </c>
      <c r="F217" s="14" t="n">
        <f aca="false">Guidance_Accuracy!F45</f>
        <v>29</v>
      </c>
      <c r="G217" s="12" t="n">
        <v>29</v>
      </c>
      <c r="H217" s="10" t="n">
        <f aca="false">F217-G217</f>
        <v>0</v>
      </c>
      <c r="I217" s="10" t="str">
        <f aca="false">IF(ABS(H217)&lt;=0.000001,"PASS","FAIL")</f>
        <v>PASS</v>
      </c>
      <c r="J217" s="10" t="s">
        <v>1130</v>
      </c>
    </row>
    <row r="218" customFormat="false" ht="15" hidden="false" customHeight="false" outlineLevel="0" collapsed="false">
      <c r="A218" s="10" t="s">
        <v>1558</v>
      </c>
      <c r="B218" s="10" t="s">
        <v>1099</v>
      </c>
      <c r="C218" s="10" t="s">
        <v>1559</v>
      </c>
      <c r="D218" s="10" t="s">
        <v>1124</v>
      </c>
      <c r="E218" s="10" t="s">
        <v>178</v>
      </c>
      <c r="F218" s="14" t="n">
        <f aca="false">Guidance_Accuracy!G45</f>
        <v>31</v>
      </c>
      <c r="G218" s="12" t="n">
        <v>31</v>
      </c>
      <c r="H218" s="10" t="n">
        <f aca="false">F218-G218</f>
        <v>0</v>
      </c>
      <c r="I218" s="10" t="str">
        <f aca="false">IF(ABS(H218)&lt;=0.000001,"PASS","FAIL")</f>
        <v>PASS</v>
      </c>
      <c r="J218" s="10" t="s">
        <v>1133</v>
      </c>
    </row>
    <row r="219" customFormat="false" ht="15" hidden="false" customHeight="false" outlineLevel="0" collapsed="false">
      <c r="A219" s="10" t="s">
        <v>1560</v>
      </c>
      <c r="B219" s="10" t="s">
        <v>1100</v>
      </c>
      <c r="C219" s="10" t="s">
        <v>1561</v>
      </c>
      <c r="D219" s="10" t="s">
        <v>1136</v>
      </c>
      <c r="E219" s="10" t="s">
        <v>179</v>
      </c>
      <c r="F219" s="22" t="n">
        <f aca="false">Guidance_Accuracy!I45</f>
        <v>40265</v>
      </c>
      <c r="G219" s="12" t="n">
        <v>40265</v>
      </c>
      <c r="H219" s="10" t="n">
        <f aca="false">F219-G219</f>
        <v>0</v>
      </c>
      <c r="I219" s="10" t="str">
        <f aca="false">IF(ABS(H219)&lt;=0.000001,"PASS","FAIL")</f>
        <v>PASS</v>
      </c>
      <c r="J219" s="10" t="s">
        <v>1562</v>
      </c>
    </row>
    <row r="220" customFormat="false" ht="15" hidden="false" customHeight="false" outlineLevel="0" collapsed="false">
      <c r="A220" s="10" t="s">
        <v>1563</v>
      </c>
      <c r="B220" s="10" t="s">
        <v>1099</v>
      </c>
      <c r="C220" s="10" t="s">
        <v>1564</v>
      </c>
      <c r="D220" s="10" t="s">
        <v>1124</v>
      </c>
      <c r="E220" s="10" t="s">
        <v>180</v>
      </c>
      <c r="F220" s="24" t="n">
        <f aca="false">Guidance_Accuracy!D46</f>
        <v>45698</v>
      </c>
      <c r="G220" s="11" t="n">
        <v>45698</v>
      </c>
      <c r="H220" s="10" t="n">
        <f aca="false">F220-G220</f>
        <v>0</v>
      </c>
      <c r="I220" s="10" t="str">
        <f aca="false">IF(ABS(H220)&lt;=0.000001,"PASS","FAIL")</f>
        <v>PASS</v>
      </c>
      <c r="J220" s="10" t="s">
        <v>1125</v>
      </c>
    </row>
    <row r="221" customFormat="false" ht="15" hidden="false" customHeight="false" outlineLevel="0" collapsed="false">
      <c r="A221" s="10" t="s">
        <v>1565</v>
      </c>
      <c r="B221" s="10" t="s">
        <v>1099</v>
      </c>
      <c r="C221" s="10" t="s">
        <v>1566</v>
      </c>
      <c r="D221" s="10" t="s">
        <v>1124</v>
      </c>
      <c r="E221" s="10" t="s">
        <v>180</v>
      </c>
      <c r="F221" s="10" t="str">
        <f aca="false">Guidance_Accuracy!E46</f>
        <v>Non-GAAP operating income (loss)</v>
      </c>
      <c r="G221" s="12" t="s">
        <v>151</v>
      </c>
      <c r="H221" s="10" t="n">
        <f aca="false">IF(EXACT(F221,G221),0,1)</f>
        <v>0</v>
      </c>
      <c r="I221" s="10" t="str">
        <f aca="false">IF(ABS(H221)&lt;=0.000001,"PASS","FAIL")</f>
        <v>PASS</v>
      </c>
      <c r="J221" s="10" t="s">
        <v>29</v>
      </c>
    </row>
    <row r="222" customFormat="false" ht="15" hidden="false" customHeight="false" outlineLevel="0" collapsed="false">
      <c r="A222" s="10" t="s">
        <v>1567</v>
      </c>
      <c r="B222" s="10" t="s">
        <v>1099</v>
      </c>
      <c r="C222" s="10" t="s">
        <v>1568</v>
      </c>
      <c r="D222" s="10" t="s">
        <v>1124</v>
      </c>
      <c r="E222" s="10" t="s">
        <v>180</v>
      </c>
      <c r="F222" s="14" t="n">
        <f aca="false">Guidance_Accuracy!F46</f>
        <v>25</v>
      </c>
      <c r="G222" s="12" t="n">
        <v>25</v>
      </c>
      <c r="H222" s="10" t="n">
        <f aca="false">F222-G222</f>
        <v>0</v>
      </c>
      <c r="I222" s="10" t="str">
        <f aca="false">IF(ABS(H222)&lt;=0.000001,"PASS","FAIL")</f>
        <v>PASS</v>
      </c>
      <c r="J222" s="10" t="s">
        <v>1130</v>
      </c>
    </row>
    <row r="223" customFormat="false" ht="15" hidden="false" customHeight="false" outlineLevel="0" collapsed="false">
      <c r="A223" s="10" t="s">
        <v>1569</v>
      </c>
      <c r="B223" s="10" t="s">
        <v>1099</v>
      </c>
      <c r="C223" s="10" t="s">
        <v>1570</v>
      </c>
      <c r="D223" s="10" t="s">
        <v>1124</v>
      </c>
      <c r="E223" s="10" t="s">
        <v>180</v>
      </c>
      <c r="F223" s="14" t="n">
        <f aca="false">Guidance_Accuracy!G46</f>
        <v>27</v>
      </c>
      <c r="G223" s="12" t="n">
        <v>27</v>
      </c>
      <c r="H223" s="10" t="n">
        <f aca="false">F223-G223</f>
        <v>0</v>
      </c>
      <c r="I223" s="10" t="str">
        <f aca="false">IF(ABS(H223)&lt;=0.000001,"PASS","FAIL")</f>
        <v>PASS</v>
      </c>
      <c r="J223" s="10" t="s">
        <v>1133</v>
      </c>
    </row>
    <row r="224" customFormat="false" ht="15" hidden="false" customHeight="false" outlineLevel="0" collapsed="false">
      <c r="A224" s="10" t="s">
        <v>1571</v>
      </c>
      <c r="B224" s="10" t="s">
        <v>1100</v>
      </c>
      <c r="C224" s="10" t="s">
        <v>1572</v>
      </c>
      <c r="D224" s="10" t="s">
        <v>1136</v>
      </c>
      <c r="E224" s="10" t="s">
        <v>181</v>
      </c>
      <c r="F224" s="22" t="n">
        <f aca="false">Guidance_Accuracy!I46</f>
        <v>40754</v>
      </c>
      <c r="G224" s="12" t="n">
        <v>40754</v>
      </c>
      <c r="H224" s="10" t="n">
        <f aca="false">F224-G224</f>
        <v>0</v>
      </c>
      <c r="I224" s="10" t="str">
        <f aca="false">IF(ABS(H224)&lt;=0.000001,"PASS","FAIL")</f>
        <v>PASS</v>
      </c>
      <c r="J224" s="10" t="s">
        <v>1573</v>
      </c>
    </row>
    <row r="225" customFormat="false" ht="15" hidden="false" customHeight="false" outlineLevel="0" collapsed="false">
      <c r="A225" s="10" t="s">
        <v>1574</v>
      </c>
      <c r="B225" s="10" t="s">
        <v>1099</v>
      </c>
      <c r="C225" s="10" t="s">
        <v>1575</v>
      </c>
      <c r="D225" s="10" t="s">
        <v>1124</v>
      </c>
      <c r="E225" s="10" t="s">
        <v>182</v>
      </c>
      <c r="F225" s="24" t="n">
        <f aca="false">Guidance_Accuracy!D47</f>
        <v>45789</v>
      </c>
      <c r="G225" s="11" t="n">
        <v>45789</v>
      </c>
      <c r="H225" s="10" t="n">
        <f aca="false">F225-G225</f>
        <v>0</v>
      </c>
      <c r="I225" s="10" t="str">
        <f aca="false">IF(ABS(H225)&lt;=0.000001,"PASS","FAIL")</f>
        <v>PASS</v>
      </c>
      <c r="J225" s="10" t="s">
        <v>1125</v>
      </c>
    </row>
    <row r="226" customFormat="false" ht="15" hidden="false" customHeight="false" outlineLevel="0" collapsed="false">
      <c r="A226" s="10" t="s">
        <v>1576</v>
      </c>
      <c r="B226" s="10" t="s">
        <v>1099</v>
      </c>
      <c r="C226" s="10" t="s">
        <v>1577</v>
      </c>
      <c r="D226" s="10" t="s">
        <v>1124</v>
      </c>
      <c r="E226" s="10" t="s">
        <v>182</v>
      </c>
      <c r="F226" s="10" t="str">
        <f aca="false">Guidance_Accuracy!E47</f>
        <v>Non-GAAP operating income (loss)</v>
      </c>
      <c r="G226" s="12" t="s">
        <v>151</v>
      </c>
      <c r="H226" s="10" t="n">
        <f aca="false">IF(EXACT(F226,G226),0,1)</f>
        <v>0</v>
      </c>
      <c r="I226" s="10" t="str">
        <f aca="false">IF(ABS(H226)&lt;=0.000001,"PASS","FAIL")</f>
        <v>PASS</v>
      </c>
      <c r="J226" s="10" t="s">
        <v>29</v>
      </c>
    </row>
    <row r="227" customFormat="false" ht="15" hidden="false" customHeight="false" outlineLevel="0" collapsed="false">
      <c r="A227" s="10" t="s">
        <v>1578</v>
      </c>
      <c r="B227" s="10" t="s">
        <v>1099</v>
      </c>
      <c r="C227" s="10" t="s">
        <v>1579</v>
      </c>
      <c r="D227" s="10" t="s">
        <v>1124</v>
      </c>
      <c r="E227" s="10" t="s">
        <v>182</v>
      </c>
      <c r="F227" s="14" t="n">
        <f aca="false">Guidance_Accuracy!F47</f>
        <v>32</v>
      </c>
      <c r="G227" s="12" t="n">
        <v>32</v>
      </c>
      <c r="H227" s="10" t="n">
        <f aca="false">F227-G227</f>
        <v>0</v>
      </c>
      <c r="I227" s="10" t="str">
        <f aca="false">IF(ABS(H227)&lt;=0.000001,"PASS","FAIL")</f>
        <v>PASS</v>
      </c>
      <c r="J227" s="10" t="s">
        <v>1130</v>
      </c>
    </row>
    <row r="228" customFormat="false" ht="15" hidden="false" customHeight="false" outlineLevel="0" collapsed="false">
      <c r="A228" s="10" t="s">
        <v>1580</v>
      </c>
      <c r="B228" s="10" t="s">
        <v>1099</v>
      </c>
      <c r="C228" s="10" t="s">
        <v>1581</v>
      </c>
      <c r="D228" s="10" t="s">
        <v>1124</v>
      </c>
      <c r="E228" s="10" t="s">
        <v>182</v>
      </c>
      <c r="F228" s="14" t="n">
        <f aca="false">Guidance_Accuracy!G47</f>
        <v>34</v>
      </c>
      <c r="G228" s="12" t="n">
        <v>34</v>
      </c>
      <c r="H228" s="10" t="n">
        <f aca="false">F228-G228</f>
        <v>0</v>
      </c>
      <c r="I228" s="10" t="str">
        <f aca="false">IF(ABS(H228)&lt;=0.000001,"PASS","FAIL")</f>
        <v>PASS</v>
      </c>
      <c r="J228" s="10" t="s">
        <v>1133</v>
      </c>
    </row>
    <row r="229" customFormat="false" ht="15" hidden="false" customHeight="false" outlineLevel="0" collapsed="false">
      <c r="A229" s="10" t="s">
        <v>1582</v>
      </c>
      <c r="B229" s="10" t="s">
        <v>1100</v>
      </c>
      <c r="C229" s="10" t="s">
        <v>1583</v>
      </c>
      <c r="D229" s="10" t="s">
        <v>1136</v>
      </c>
      <c r="E229" s="10" t="s">
        <v>183</v>
      </c>
      <c r="F229" s="22" t="n">
        <f aca="false">Guidance_Accuracy!I47</f>
        <v>45094</v>
      </c>
      <c r="G229" s="12" t="n">
        <v>45094</v>
      </c>
      <c r="H229" s="10" t="n">
        <f aca="false">F229-G229</f>
        <v>0</v>
      </c>
      <c r="I229" s="10" t="str">
        <f aca="false">IF(ABS(H229)&lt;=0.000001,"PASS","FAIL")</f>
        <v>PASS</v>
      </c>
      <c r="J229" s="10" t="s">
        <v>1584</v>
      </c>
    </row>
    <row r="230" customFormat="false" ht="15" hidden="false" customHeight="false" outlineLevel="0" collapsed="false">
      <c r="A230" s="10" t="s">
        <v>1585</v>
      </c>
      <c r="B230" s="10" t="s">
        <v>1099</v>
      </c>
      <c r="C230" s="10" t="s">
        <v>1586</v>
      </c>
      <c r="D230" s="10" t="s">
        <v>1124</v>
      </c>
      <c r="E230" s="10" t="s">
        <v>184</v>
      </c>
      <c r="F230" s="24" t="n">
        <f aca="false">Guidance_Accuracy!D48</f>
        <v>45880</v>
      </c>
      <c r="G230" s="11" t="n">
        <v>45880</v>
      </c>
      <c r="H230" s="10" t="n">
        <f aca="false">F230-G230</f>
        <v>0</v>
      </c>
      <c r="I230" s="10" t="str">
        <f aca="false">IF(ABS(H230)&lt;=0.000001,"PASS","FAIL")</f>
        <v>PASS</v>
      </c>
      <c r="J230" s="10" t="s">
        <v>1125</v>
      </c>
    </row>
    <row r="231" customFormat="false" ht="15" hidden="false" customHeight="false" outlineLevel="0" collapsed="false">
      <c r="A231" s="10" t="s">
        <v>1587</v>
      </c>
      <c r="B231" s="10" t="s">
        <v>1099</v>
      </c>
      <c r="C231" s="10" t="s">
        <v>1588</v>
      </c>
      <c r="D231" s="10" t="s">
        <v>1124</v>
      </c>
      <c r="E231" s="10" t="s">
        <v>184</v>
      </c>
      <c r="F231" s="10" t="str">
        <f aca="false">Guidance_Accuracy!E48</f>
        <v>Non-GAAP operating income (loss)</v>
      </c>
      <c r="G231" s="12" t="s">
        <v>151</v>
      </c>
      <c r="H231" s="10" t="n">
        <f aca="false">IF(EXACT(F231,G231),0,1)</f>
        <v>0</v>
      </c>
      <c r="I231" s="10" t="str">
        <f aca="false">IF(ABS(H231)&lt;=0.000001,"PASS","FAIL")</f>
        <v>PASS</v>
      </c>
      <c r="J231" s="10" t="s">
        <v>29</v>
      </c>
    </row>
    <row r="232" customFormat="false" ht="15" hidden="false" customHeight="false" outlineLevel="0" collapsed="false">
      <c r="A232" s="10" t="s">
        <v>1589</v>
      </c>
      <c r="B232" s="10" t="s">
        <v>1099</v>
      </c>
      <c r="C232" s="10" t="s">
        <v>1590</v>
      </c>
      <c r="D232" s="10" t="s">
        <v>1124</v>
      </c>
      <c r="E232" s="10" t="s">
        <v>184</v>
      </c>
      <c r="F232" s="14" t="n">
        <f aca="false">Guidance_Accuracy!F48</f>
        <v>34</v>
      </c>
      <c r="G232" s="12" t="n">
        <v>34</v>
      </c>
      <c r="H232" s="10" t="n">
        <f aca="false">F232-G232</f>
        <v>0</v>
      </c>
      <c r="I232" s="10" t="str">
        <f aca="false">IF(ABS(H232)&lt;=0.000001,"PASS","FAIL")</f>
        <v>PASS</v>
      </c>
      <c r="J232" s="10" t="s">
        <v>1130</v>
      </c>
    </row>
    <row r="233" customFormat="false" ht="15" hidden="false" customHeight="false" outlineLevel="0" collapsed="false">
      <c r="A233" s="10" t="s">
        <v>1591</v>
      </c>
      <c r="B233" s="10" t="s">
        <v>1099</v>
      </c>
      <c r="C233" s="10" t="s">
        <v>1592</v>
      </c>
      <c r="D233" s="10" t="s">
        <v>1124</v>
      </c>
      <c r="E233" s="10" t="s">
        <v>184</v>
      </c>
      <c r="F233" s="14" t="n">
        <f aca="false">Guidance_Accuracy!G48</f>
        <v>36</v>
      </c>
      <c r="G233" s="12" t="n">
        <v>36</v>
      </c>
      <c r="H233" s="10" t="n">
        <f aca="false">F233-G233</f>
        <v>0</v>
      </c>
      <c r="I233" s="10" t="str">
        <f aca="false">IF(ABS(H233)&lt;=0.000001,"PASS","FAIL")</f>
        <v>PASS</v>
      </c>
      <c r="J233" s="10" t="s">
        <v>1133</v>
      </c>
    </row>
    <row r="234" customFormat="false" ht="15" hidden="false" customHeight="false" outlineLevel="0" collapsed="false">
      <c r="A234" s="10" t="s">
        <v>1593</v>
      </c>
      <c r="B234" s="10" t="s">
        <v>1100</v>
      </c>
      <c r="C234" s="10" t="s">
        <v>1594</v>
      </c>
      <c r="D234" s="10" t="s">
        <v>1136</v>
      </c>
      <c r="E234" s="10" t="s">
        <v>185</v>
      </c>
      <c r="F234" s="22" t="n">
        <f aca="false">Guidance_Accuracy!I48</f>
        <v>47484</v>
      </c>
      <c r="G234" s="12" t="n">
        <v>47484</v>
      </c>
      <c r="H234" s="10" t="n">
        <f aca="false">F234-G234</f>
        <v>0</v>
      </c>
      <c r="I234" s="10" t="str">
        <f aca="false">IF(ABS(H234)&lt;=0.000001,"PASS","FAIL")</f>
        <v>PASS</v>
      </c>
      <c r="J234" s="10" t="s">
        <v>1595</v>
      </c>
    </row>
    <row r="235" customFormat="false" ht="15" hidden="false" customHeight="false" outlineLevel="0" collapsed="false">
      <c r="A235" s="10" t="s">
        <v>1596</v>
      </c>
      <c r="B235" s="10" t="s">
        <v>1099</v>
      </c>
      <c r="C235" s="10" t="s">
        <v>1597</v>
      </c>
      <c r="D235" s="10" t="s">
        <v>1124</v>
      </c>
      <c r="E235" s="10" t="s">
        <v>186</v>
      </c>
      <c r="F235" s="24" t="n">
        <f aca="false">Guidance_Accuracy!D49</f>
        <v>45971</v>
      </c>
      <c r="G235" s="11" t="n">
        <v>45971</v>
      </c>
      <c r="H235" s="10" t="n">
        <f aca="false">F235-G235</f>
        <v>0</v>
      </c>
      <c r="I235" s="10" t="str">
        <f aca="false">IF(ABS(H235)&lt;=0.000001,"PASS","FAIL")</f>
        <v>PASS</v>
      </c>
      <c r="J235" s="10" t="s">
        <v>1125</v>
      </c>
    </row>
    <row r="236" customFormat="false" ht="15" hidden="false" customHeight="false" outlineLevel="0" collapsed="false">
      <c r="A236" s="10" t="s">
        <v>1598</v>
      </c>
      <c r="B236" s="10" t="s">
        <v>1099</v>
      </c>
      <c r="C236" s="10" t="s">
        <v>1599</v>
      </c>
      <c r="D236" s="10" t="s">
        <v>1124</v>
      </c>
      <c r="E236" s="10" t="s">
        <v>186</v>
      </c>
      <c r="F236" s="10" t="str">
        <f aca="false">Guidance_Accuracy!E49</f>
        <v>Non-GAAP operating income (loss)</v>
      </c>
      <c r="G236" s="12" t="s">
        <v>151</v>
      </c>
      <c r="H236" s="10" t="n">
        <f aca="false">IF(EXACT(F236,G236),0,1)</f>
        <v>0</v>
      </c>
      <c r="I236" s="10" t="str">
        <f aca="false">IF(ABS(H236)&lt;=0.000001,"PASS","FAIL")</f>
        <v>PASS</v>
      </c>
      <c r="J236" s="10" t="s">
        <v>29</v>
      </c>
    </row>
    <row r="237" customFormat="false" ht="15" hidden="false" customHeight="false" outlineLevel="0" collapsed="false">
      <c r="A237" s="10" t="s">
        <v>1600</v>
      </c>
      <c r="B237" s="10" t="s">
        <v>1099</v>
      </c>
      <c r="C237" s="10" t="s">
        <v>1601</v>
      </c>
      <c r="D237" s="10" t="s">
        <v>1124</v>
      </c>
      <c r="E237" s="10" t="s">
        <v>186</v>
      </c>
      <c r="F237" s="14" t="n">
        <f aca="false">Guidance_Accuracy!F49</f>
        <v>36</v>
      </c>
      <c r="G237" s="12" t="n">
        <v>36</v>
      </c>
      <c r="H237" s="10" t="n">
        <f aca="false">F237-G237</f>
        <v>0</v>
      </c>
      <c r="I237" s="10" t="str">
        <f aca="false">IF(ABS(H237)&lt;=0.000001,"PASS","FAIL")</f>
        <v>PASS</v>
      </c>
      <c r="J237" s="10" t="s">
        <v>1130</v>
      </c>
    </row>
    <row r="238" customFormat="false" ht="15" hidden="false" customHeight="false" outlineLevel="0" collapsed="false">
      <c r="A238" s="10" t="s">
        <v>1602</v>
      </c>
      <c r="B238" s="10" t="s">
        <v>1099</v>
      </c>
      <c r="C238" s="10" t="s">
        <v>1603</v>
      </c>
      <c r="D238" s="10" t="s">
        <v>1124</v>
      </c>
      <c r="E238" s="10" t="s">
        <v>186</v>
      </c>
      <c r="F238" s="14" t="n">
        <f aca="false">Guidance_Accuracy!G49</f>
        <v>38</v>
      </c>
      <c r="G238" s="12" t="n">
        <v>38</v>
      </c>
      <c r="H238" s="10" t="n">
        <f aca="false">F238-G238</f>
        <v>0</v>
      </c>
      <c r="I238" s="10" t="str">
        <f aca="false">IF(ABS(H238)&lt;=0.000001,"PASS","FAIL")</f>
        <v>PASS</v>
      </c>
      <c r="J238" s="10" t="s">
        <v>1133</v>
      </c>
    </row>
    <row r="239" customFormat="false" ht="15" hidden="false" customHeight="false" outlineLevel="0" collapsed="false">
      <c r="A239" s="10" t="s">
        <v>1604</v>
      </c>
      <c r="B239" s="10" t="s">
        <v>1100</v>
      </c>
      <c r="C239" s="10" t="s">
        <v>1605</v>
      </c>
      <c r="D239" s="10" t="s">
        <v>1136</v>
      </c>
      <c r="E239" s="10" t="s">
        <v>187</v>
      </c>
      <c r="F239" s="22" t="n">
        <f aca="false">Guidance_Accuracy!I49</f>
        <v>41931</v>
      </c>
      <c r="G239" s="12" t="n">
        <v>41931</v>
      </c>
      <c r="H239" s="10" t="n">
        <f aca="false">F239-G239</f>
        <v>0</v>
      </c>
      <c r="I239" s="10" t="str">
        <f aca="false">IF(ABS(H239)&lt;=0.000001,"PASS","FAIL")</f>
        <v>PASS</v>
      </c>
      <c r="J239" s="10" t="s">
        <v>1606</v>
      </c>
    </row>
    <row r="240" customFormat="false" ht="15" hidden="false" customHeight="false" outlineLevel="0" collapsed="false">
      <c r="A240" s="10" t="s">
        <v>1607</v>
      </c>
      <c r="B240" s="10" t="s">
        <v>1101</v>
      </c>
      <c r="C240" s="10" t="s">
        <v>1608</v>
      </c>
      <c r="D240" s="10" t="s">
        <v>1136</v>
      </c>
      <c r="E240" s="10" t="s">
        <v>137</v>
      </c>
      <c r="F240" s="25" t="n">
        <f aca="false">Guidance_Accuracy!V49</f>
        <v>-180</v>
      </c>
      <c r="G240" s="12" t="n">
        <v>-180</v>
      </c>
      <c r="H240" s="10" t="n">
        <f aca="false">F240-G240</f>
        <v>0</v>
      </c>
      <c r="I240" s="10" t="str">
        <f aca="false">IF(ABS(H240)&lt;=0.000001,"PASS","FAIL")</f>
        <v>PASS</v>
      </c>
      <c r="J240" s="10" t="s">
        <v>1357</v>
      </c>
    </row>
    <row r="241" customFormat="false" ht="15" hidden="false" customHeight="false" outlineLevel="0" collapsed="false">
      <c r="A241" s="10" t="s">
        <v>1609</v>
      </c>
      <c r="B241" s="10" t="s">
        <v>1099</v>
      </c>
      <c r="C241" s="10" t="s">
        <v>1610</v>
      </c>
      <c r="D241" s="10" t="s">
        <v>1124</v>
      </c>
      <c r="E241" s="10" t="s">
        <v>189</v>
      </c>
      <c r="F241" s="24" t="n">
        <f aca="false">Guidance_Accuracy!D50</f>
        <v>46062</v>
      </c>
      <c r="G241" s="11" t="n">
        <v>46062</v>
      </c>
      <c r="H241" s="10" t="n">
        <f aca="false">F241-G241</f>
        <v>0</v>
      </c>
      <c r="I241" s="10" t="str">
        <f aca="false">IF(ABS(H241)&lt;=0.000001,"PASS","FAIL")</f>
        <v>PASS</v>
      </c>
      <c r="J241" s="10" t="s">
        <v>1125</v>
      </c>
    </row>
    <row r="242" customFormat="false" ht="15" hidden="false" customHeight="false" outlineLevel="0" collapsed="false">
      <c r="A242" s="10" t="s">
        <v>1611</v>
      </c>
      <c r="B242" s="10" t="s">
        <v>1099</v>
      </c>
      <c r="C242" s="10" t="s">
        <v>1612</v>
      </c>
      <c r="D242" s="10" t="s">
        <v>1124</v>
      </c>
      <c r="E242" s="10" t="s">
        <v>189</v>
      </c>
      <c r="F242" s="10" t="str">
        <f aca="false">Guidance_Accuracy!E50</f>
        <v>Non-GAAP operating income (loss)</v>
      </c>
      <c r="G242" s="12" t="s">
        <v>151</v>
      </c>
      <c r="H242" s="10" t="n">
        <f aca="false">IF(EXACT(F242,G242),0,1)</f>
        <v>0</v>
      </c>
      <c r="I242" s="10" t="str">
        <f aca="false">IF(ABS(H242)&lt;=0.000001,"PASS","FAIL")</f>
        <v>PASS</v>
      </c>
      <c r="J242" s="10" t="s">
        <v>29</v>
      </c>
    </row>
    <row r="243" customFormat="false" ht="15" hidden="false" customHeight="false" outlineLevel="0" collapsed="false">
      <c r="A243" s="10" t="s">
        <v>1613</v>
      </c>
      <c r="B243" s="10" t="s">
        <v>1099</v>
      </c>
      <c r="C243" s="10" t="s">
        <v>1614</v>
      </c>
      <c r="D243" s="10" t="s">
        <v>1124</v>
      </c>
      <c r="E243" s="10" t="s">
        <v>189</v>
      </c>
      <c r="F243" s="14" t="n">
        <f aca="false">Guidance_Accuracy!F50</f>
        <v>37</v>
      </c>
      <c r="G243" s="12" t="n">
        <v>37</v>
      </c>
      <c r="H243" s="10" t="n">
        <f aca="false">F243-G243</f>
        <v>0</v>
      </c>
      <c r="I243" s="10" t="str">
        <f aca="false">IF(ABS(H243)&lt;=0.000001,"PASS","FAIL")</f>
        <v>PASS</v>
      </c>
      <c r="J243" s="10" t="s">
        <v>1130</v>
      </c>
    </row>
    <row r="244" customFormat="false" ht="15" hidden="false" customHeight="false" outlineLevel="0" collapsed="false">
      <c r="A244" s="10" t="s">
        <v>1615</v>
      </c>
      <c r="B244" s="10" t="s">
        <v>1099</v>
      </c>
      <c r="C244" s="10" t="s">
        <v>1616</v>
      </c>
      <c r="D244" s="10" t="s">
        <v>1124</v>
      </c>
      <c r="E244" s="10" t="s">
        <v>189</v>
      </c>
      <c r="F244" s="14" t="n">
        <f aca="false">Guidance_Accuracy!G50</f>
        <v>39</v>
      </c>
      <c r="G244" s="12" t="n">
        <v>39</v>
      </c>
      <c r="H244" s="10" t="n">
        <f aca="false">F244-G244</f>
        <v>0</v>
      </c>
      <c r="I244" s="10" t="str">
        <f aca="false">IF(ABS(H244)&lt;=0.000001,"PASS","FAIL")</f>
        <v>PASS</v>
      </c>
      <c r="J244" s="10" t="s">
        <v>1133</v>
      </c>
    </row>
    <row r="245" customFormat="false" ht="15" hidden="false" customHeight="false" outlineLevel="0" collapsed="false">
      <c r="A245" s="10" t="s">
        <v>1617</v>
      </c>
      <c r="B245" s="10" t="s">
        <v>1100</v>
      </c>
      <c r="C245" s="10" t="s">
        <v>1618</v>
      </c>
      <c r="D245" s="10" t="s">
        <v>1136</v>
      </c>
      <c r="E245" s="10" t="s">
        <v>190</v>
      </c>
      <c r="F245" s="22" t="n">
        <f aca="false">Guidance_Accuracy!I50</f>
        <v>49037</v>
      </c>
      <c r="G245" s="12" t="n">
        <v>49037</v>
      </c>
      <c r="H245" s="10" t="n">
        <f aca="false">F245-G245</f>
        <v>0</v>
      </c>
      <c r="I245" s="10" t="str">
        <f aca="false">IF(ABS(H245)&lt;=0.000001,"PASS","FAIL")</f>
        <v>PASS</v>
      </c>
      <c r="J245" s="10" t="s">
        <v>1619</v>
      </c>
    </row>
    <row r="246" customFormat="false" ht="15" hidden="false" customHeight="false" outlineLevel="0" collapsed="false">
      <c r="A246" s="10" t="s">
        <v>1620</v>
      </c>
      <c r="B246" s="10" t="s">
        <v>1101</v>
      </c>
      <c r="C246" s="10" t="s">
        <v>1621</v>
      </c>
      <c r="D246" s="10" t="s">
        <v>1136</v>
      </c>
      <c r="E246" s="10" t="s">
        <v>142</v>
      </c>
      <c r="F246" s="25" t="n">
        <f aca="false">Guidance_Accuracy!V50</f>
        <v>-190</v>
      </c>
      <c r="G246" s="12" t="n">
        <v>-190</v>
      </c>
      <c r="H246" s="10" t="n">
        <f aca="false">F246-G246</f>
        <v>0</v>
      </c>
      <c r="I246" s="10" t="str">
        <f aca="false">IF(ABS(H246)&lt;=0.000001,"PASS","FAIL")</f>
        <v>PASS</v>
      </c>
      <c r="J246" s="10" t="s">
        <v>1371</v>
      </c>
    </row>
    <row r="247" customFormat="false" ht="15" hidden="false" customHeight="false" outlineLevel="0" collapsed="false">
      <c r="A247" s="10" t="s">
        <v>1622</v>
      </c>
      <c r="B247" s="10" t="s">
        <v>1099</v>
      </c>
      <c r="C247" s="10" t="s">
        <v>1623</v>
      </c>
      <c r="D247" s="10" t="s">
        <v>1124</v>
      </c>
      <c r="E247" s="10" t="s">
        <v>192</v>
      </c>
      <c r="F247" s="24" t="n">
        <f aca="false">Guidance_Accuracy!D51</f>
        <v>46153</v>
      </c>
      <c r="G247" s="11" t="n">
        <v>46153</v>
      </c>
      <c r="H247" s="10" t="n">
        <f aca="false">F247-G247</f>
        <v>0</v>
      </c>
      <c r="I247" s="10" t="str">
        <f aca="false">IF(ABS(H247)&lt;=0.000001,"PASS","FAIL")</f>
        <v>PASS</v>
      </c>
      <c r="J247" s="10" t="s">
        <v>1125</v>
      </c>
    </row>
    <row r="248" customFormat="false" ht="15" hidden="false" customHeight="false" outlineLevel="0" collapsed="false">
      <c r="A248" s="10" t="s">
        <v>1624</v>
      </c>
      <c r="B248" s="10" t="s">
        <v>1099</v>
      </c>
      <c r="C248" s="10" t="s">
        <v>1625</v>
      </c>
      <c r="D248" s="10" t="s">
        <v>1124</v>
      </c>
      <c r="E248" s="10" t="s">
        <v>192</v>
      </c>
      <c r="F248" s="10" t="str">
        <f aca="false">Guidance_Accuracy!E51</f>
        <v>Non-GAAP operating income (loss)</v>
      </c>
      <c r="G248" s="12" t="s">
        <v>151</v>
      </c>
      <c r="H248" s="10" t="n">
        <f aca="false">IF(EXACT(F248,G248),0,1)</f>
        <v>0</v>
      </c>
      <c r="I248" s="10" t="str">
        <f aca="false">IF(ABS(H248)&lt;=0.000001,"PASS","FAIL")</f>
        <v>PASS</v>
      </c>
      <c r="J248" s="10" t="s">
        <v>29</v>
      </c>
    </row>
    <row r="249" customFormat="false" ht="15" hidden="false" customHeight="false" outlineLevel="0" collapsed="false">
      <c r="A249" s="10" t="s">
        <v>1626</v>
      </c>
      <c r="B249" s="10" t="s">
        <v>1099</v>
      </c>
      <c r="C249" s="10" t="s">
        <v>1627</v>
      </c>
      <c r="D249" s="10" t="s">
        <v>1124</v>
      </c>
      <c r="E249" s="10" t="s">
        <v>192</v>
      </c>
      <c r="F249" s="14" t="n">
        <f aca="false">Guidance_Accuracy!F51</f>
        <v>46</v>
      </c>
      <c r="G249" s="12" t="n">
        <v>46</v>
      </c>
      <c r="H249" s="10" t="n">
        <f aca="false">F249-G249</f>
        <v>0</v>
      </c>
      <c r="I249" s="10" t="str">
        <f aca="false">IF(ABS(H249)&lt;=0.000001,"PASS","FAIL")</f>
        <v>PASS</v>
      </c>
      <c r="J249" s="10" t="s">
        <v>1130</v>
      </c>
    </row>
    <row r="250" customFormat="false" ht="15" hidden="false" customHeight="false" outlineLevel="0" collapsed="false">
      <c r="A250" s="10" t="s">
        <v>1628</v>
      </c>
      <c r="B250" s="10" t="s">
        <v>1099</v>
      </c>
      <c r="C250" s="10" t="s">
        <v>1629</v>
      </c>
      <c r="D250" s="10" t="s">
        <v>1124</v>
      </c>
      <c r="E250" s="10" t="s">
        <v>192</v>
      </c>
      <c r="F250" s="14" t="n">
        <f aca="false">Guidance_Accuracy!G51</f>
        <v>48</v>
      </c>
      <c r="G250" s="12" t="n">
        <v>48</v>
      </c>
      <c r="H250" s="10" t="n">
        <f aca="false">F250-G250</f>
        <v>0</v>
      </c>
      <c r="I250" s="10" t="str">
        <f aca="false">IF(ABS(H250)&lt;=0.000001,"PASS","FAIL")</f>
        <v>PASS</v>
      </c>
      <c r="J250" s="10" t="s">
        <v>1133</v>
      </c>
    </row>
    <row r="251" customFormat="false" ht="15" hidden="false" customHeight="false" outlineLevel="0" collapsed="false">
      <c r="A251" s="10" t="s">
        <v>1630</v>
      </c>
      <c r="B251" s="10" t="s">
        <v>1100</v>
      </c>
      <c r="C251" s="10" t="s">
        <v>1631</v>
      </c>
      <c r="D251" s="10" t="s">
        <v>1136</v>
      </c>
      <c r="E251" s="10" t="s">
        <v>193</v>
      </c>
      <c r="F251" s="22" t="n">
        <f aca="false">Guidance_Accuracy!I51</f>
        <v>61110</v>
      </c>
      <c r="G251" s="12" t="n">
        <v>61110</v>
      </c>
      <c r="H251" s="10" t="n">
        <f aca="false">F251-G251</f>
        <v>0</v>
      </c>
      <c r="I251" s="10" t="str">
        <f aca="false">IF(ABS(H251)&lt;=0.000001,"PASS","FAIL")</f>
        <v>PASS</v>
      </c>
      <c r="J251" s="10" t="s">
        <v>1632</v>
      </c>
    </row>
    <row r="252" customFormat="false" ht="15" hidden="false" customHeight="false" outlineLevel="0" collapsed="false">
      <c r="A252" s="10" t="s">
        <v>1633</v>
      </c>
      <c r="B252" s="10" t="s">
        <v>1101</v>
      </c>
      <c r="C252" s="10" t="s">
        <v>1634</v>
      </c>
      <c r="D252" s="10" t="s">
        <v>1136</v>
      </c>
      <c r="E252" s="10" t="s">
        <v>147</v>
      </c>
      <c r="F252" s="25" t="n">
        <f aca="false">Guidance_Accuracy!S51</f>
        <v>110</v>
      </c>
      <c r="G252" s="12" t="n">
        <v>110</v>
      </c>
      <c r="H252" s="10" t="n">
        <f aca="false">F252-G252</f>
        <v>0</v>
      </c>
      <c r="I252" s="10" t="str">
        <f aca="false">IF(ABS(H252)&lt;=0.000001,"PASS","FAIL")</f>
        <v>PASS</v>
      </c>
      <c r="J252" s="10" t="s">
        <v>1385</v>
      </c>
    </row>
    <row r="253" customFormat="false" ht="15" hidden="false" customHeight="false" outlineLevel="0" collapsed="false">
      <c r="A253" s="10" t="s">
        <v>1635</v>
      </c>
      <c r="B253" s="10" t="s">
        <v>1101</v>
      </c>
      <c r="C253" s="10" t="s">
        <v>1636</v>
      </c>
      <c r="D253" s="10" t="s">
        <v>1136</v>
      </c>
      <c r="E253" s="10" t="s">
        <v>148</v>
      </c>
      <c r="F253" s="25" t="n">
        <f aca="false">Guidance_Accuracy!V51</f>
        <v>-210</v>
      </c>
      <c r="G253" s="12" t="n">
        <v>-210</v>
      </c>
      <c r="H253" s="10" t="n">
        <f aca="false">F253-G253</f>
        <v>0</v>
      </c>
      <c r="I253" s="10" t="str">
        <f aca="false">IF(ABS(H253)&lt;=0.000001,"PASS","FAIL")</f>
        <v>PASS</v>
      </c>
      <c r="J253" s="10" t="s">
        <v>1388</v>
      </c>
    </row>
    <row r="254" customFormat="false" ht="15" hidden="false" customHeight="false" outlineLevel="0" collapsed="false">
      <c r="A254" s="10" t="s">
        <v>1637</v>
      </c>
      <c r="B254" s="10" t="s">
        <v>1099</v>
      </c>
      <c r="C254" s="10" t="s">
        <v>1638</v>
      </c>
      <c r="D254" s="10" t="s">
        <v>1124</v>
      </c>
      <c r="E254" s="10" t="s">
        <v>195</v>
      </c>
      <c r="F254" s="24" t="n">
        <f aca="false">Guidance_Accuracy!D57</f>
        <v>45334</v>
      </c>
      <c r="G254" s="11" t="n">
        <v>45334</v>
      </c>
      <c r="H254" s="10" t="n">
        <f aca="false">F254-G254</f>
        <v>0</v>
      </c>
      <c r="I254" s="10" t="str">
        <f aca="false">IF(ABS(H254)&lt;=0.000001,"PASS","FAIL")</f>
        <v>PASS</v>
      </c>
      <c r="J254" s="10" t="s">
        <v>1125</v>
      </c>
    </row>
    <row r="255" customFormat="false" ht="15" hidden="false" customHeight="false" outlineLevel="0" collapsed="false">
      <c r="A255" s="10" t="s">
        <v>1639</v>
      </c>
      <c r="B255" s="10" t="s">
        <v>1099</v>
      </c>
      <c r="C255" s="10" t="s">
        <v>1640</v>
      </c>
      <c r="D255" s="10" t="s">
        <v>1124</v>
      </c>
      <c r="E255" s="10" t="s">
        <v>195</v>
      </c>
      <c r="F255" s="10" t="str">
        <f aca="false">Guidance_Accuracy!E57</f>
        <v>Free cash flow</v>
      </c>
      <c r="G255" s="12" t="s">
        <v>196</v>
      </c>
      <c r="H255" s="10" t="n">
        <f aca="false">IF(EXACT(F255,G255),0,1)</f>
        <v>0</v>
      </c>
      <c r="I255" s="10" t="str">
        <f aca="false">IF(ABS(H255)&lt;=0.000001,"PASS","FAIL")</f>
        <v>PASS</v>
      </c>
      <c r="J255" s="10" t="s">
        <v>29</v>
      </c>
    </row>
    <row r="256" customFormat="false" ht="15" hidden="false" customHeight="false" outlineLevel="0" collapsed="false">
      <c r="A256" s="10" t="s">
        <v>1641</v>
      </c>
      <c r="B256" s="10" t="s">
        <v>1099</v>
      </c>
      <c r="C256" s="10" t="s">
        <v>1642</v>
      </c>
      <c r="D256" s="10" t="s">
        <v>1124</v>
      </c>
      <c r="E256" s="10" t="s">
        <v>195</v>
      </c>
      <c r="F256" s="14" t="n">
        <f aca="false">Guidance_Accuracy!F57</f>
        <v>56</v>
      </c>
      <c r="G256" s="12" t="n">
        <v>56</v>
      </c>
      <c r="H256" s="10" t="n">
        <f aca="false">F256-G256</f>
        <v>0</v>
      </c>
      <c r="I256" s="10" t="str">
        <f aca="false">IF(ABS(H256)&lt;=0.000001,"PASS","FAIL")</f>
        <v>PASS</v>
      </c>
      <c r="J256" s="10" t="s">
        <v>1130</v>
      </c>
    </row>
    <row r="257" customFormat="false" ht="15" hidden="false" customHeight="false" outlineLevel="0" collapsed="false">
      <c r="A257" s="10" t="s">
        <v>1643</v>
      </c>
      <c r="B257" s="10" t="s">
        <v>1099</v>
      </c>
      <c r="C257" s="10" t="s">
        <v>1644</v>
      </c>
      <c r="D257" s="10" t="s">
        <v>1124</v>
      </c>
      <c r="E257" s="10" t="s">
        <v>195</v>
      </c>
      <c r="F257" s="14" t="n">
        <f aca="false">Guidance_Accuracy!G57</f>
        <v>60</v>
      </c>
      <c r="G257" s="12" t="n">
        <v>60</v>
      </c>
      <c r="H257" s="10" t="n">
        <f aca="false">F257-G257</f>
        <v>0</v>
      </c>
      <c r="I257" s="10" t="str">
        <f aca="false">IF(ABS(H257)&lt;=0.000001,"PASS","FAIL")</f>
        <v>PASS</v>
      </c>
      <c r="J257" s="10" t="s">
        <v>1133</v>
      </c>
    </row>
    <row r="258" customFormat="false" ht="15" hidden="false" customHeight="false" outlineLevel="0" collapsed="false">
      <c r="A258" s="10" t="s">
        <v>1645</v>
      </c>
      <c r="B258" s="10" t="s">
        <v>1100</v>
      </c>
      <c r="C258" s="10" t="s">
        <v>1646</v>
      </c>
      <c r="D258" s="10" t="s">
        <v>1136</v>
      </c>
      <c r="E258" s="10" t="s">
        <v>197</v>
      </c>
      <c r="F258" s="22" t="n">
        <f aca="false">Guidance_Accuracy!I57</f>
        <v>89894</v>
      </c>
      <c r="G258" s="12" t="n">
        <v>89894</v>
      </c>
      <c r="H258" s="10" t="n">
        <f aca="false">F258-G258</f>
        <v>0</v>
      </c>
      <c r="I258" s="10" t="str">
        <f aca="false">IF(ABS(H258)&lt;=0.000001,"PASS","FAIL")</f>
        <v>PASS</v>
      </c>
      <c r="J258" s="10" t="s">
        <v>1647</v>
      </c>
    </row>
    <row r="259" customFormat="false" ht="15" hidden="false" customHeight="false" outlineLevel="0" collapsed="false">
      <c r="A259" s="10" t="s">
        <v>1648</v>
      </c>
      <c r="B259" s="10" t="s">
        <v>1101</v>
      </c>
      <c r="C259" s="10" t="s">
        <v>1649</v>
      </c>
      <c r="D259" s="10" t="s">
        <v>1136</v>
      </c>
      <c r="E259" s="10" t="s">
        <v>107</v>
      </c>
      <c r="F259" s="25" t="n">
        <f aca="false">Guidance_Accuracy!S57</f>
        <v>0</v>
      </c>
      <c r="G259" s="12" t="n">
        <v>0</v>
      </c>
      <c r="H259" s="10" t="n">
        <f aca="false">F259-G259</f>
        <v>0</v>
      </c>
      <c r="I259" s="10" t="str">
        <f aca="false">IF(ABS(H259)&lt;=0.000001,"PASS","FAIL")</f>
        <v>PASS</v>
      </c>
      <c r="J259" s="10" t="s">
        <v>1274</v>
      </c>
    </row>
    <row r="260" customFormat="false" ht="15" hidden="false" customHeight="false" outlineLevel="0" collapsed="false">
      <c r="A260" s="10" t="s">
        <v>1650</v>
      </c>
      <c r="B260" s="10" t="s">
        <v>1099</v>
      </c>
      <c r="C260" s="10" t="s">
        <v>1651</v>
      </c>
      <c r="D260" s="10" t="s">
        <v>1124</v>
      </c>
      <c r="E260" s="10" t="s">
        <v>199</v>
      </c>
      <c r="F260" s="24" t="n">
        <f aca="false">Guidance_Accuracy!D58</f>
        <v>45427</v>
      </c>
      <c r="G260" s="11" t="n">
        <v>45427</v>
      </c>
      <c r="H260" s="10" t="n">
        <f aca="false">F260-G260</f>
        <v>0</v>
      </c>
      <c r="I260" s="10" t="str">
        <f aca="false">IF(ABS(H260)&lt;=0.000001,"PASS","FAIL")</f>
        <v>PASS</v>
      </c>
      <c r="J260" s="10" t="s">
        <v>1125</v>
      </c>
    </row>
    <row r="261" customFormat="false" ht="15" hidden="false" customHeight="false" outlineLevel="0" collapsed="false">
      <c r="A261" s="10" t="s">
        <v>1652</v>
      </c>
      <c r="B261" s="10" t="s">
        <v>1099</v>
      </c>
      <c r="C261" s="10" t="s">
        <v>1653</v>
      </c>
      <c r="D261" s="10" t="s">
        <v>1124</v>
      </c>
      <c r="E261" s="10" t="s">
        <v>199</v>
      </c>
      <c r="F261" s="10" t="str">
        <f aca="false">Guidance_Accuracy!E58</f>
        <v>Free cash flow</v>
      </c>
      <c r="G261" s="12" t="s">
        <v>196</v>
      </c>
      <c r="H261" s="10" t="n">
        <f aca="false">IF(EXACT(F261,G261),0,1)</f>
        <v>0</v>
      </c>
      <c r="I261" s="10" t="str">
        <f aca="false">IF(ABS(H261)&lt;=0.000001,"PASS","FAIL")</f>
        <v>PASS</v>
      </c>
      <c r="J261" s="10" t="s">
        <v>29</v>
      </c>
    </row>
    <row r="262" customFormat="false" ht="15" hidden="false" customHeight="false" outlineLevel="0" collapsed="false">
      <c r="A262" s="10" t="s">
        <v>1654</v>
      </c>
      <c r="B262" s="10" t="s">
        <v>1099</v>
      </c>
      <c r="C262" s="10" t="s">
        <v>1655</v>
      </c>
      <c r="D262" s="10" t="s">
        <v>1124</v>
      </c>
      <c r="E262" s="10" t="s">
        <v>199</v>
      </c>
      <c r="F262" s="14" t="n">
        <f aca="false">Guidance_Accuracy!F58</f>
        <v>47</v>
      </c>
      <c r="G262" s="12" t="n">
        <v>47</v>
      </c>
      <c r="H262" s="10" t="n">
        <f aca="false">F262-G262</f>
        <v>0</v>
      </c>
      <c r="I262" s="10" t="str">
        <f aca="false">IF(ABS(H262)&lt;=0.000001,"PASS","FAIL")</f>
        <v>PASS</v>
      </c>
      <c r="J262" s="10" t="s">
        <v>1130</v>
      </c>
    </row>
    <row r="263" customFormat="false" ht="15" hidden="false" customHeight="false" outlineLevel="0" collapsed="false">
      <c r="A263" s="10" t="s">
        <v>1656</v>
      </c>
      <c r="B263" s="10" t="s">
        <v>1099</v>
      </c>
      <c r="C263" s="10" t="s">
        <v>1657</v>
      </c>
      <c r="D263" s="10" t="s">
        <v>1124</v>
      </c>
      <c r="E263" s="10" t="s">
        <v>199</v>
      </c>
      <c r="F263" s="14" t="n">
        <f aca="false">Guidance_Accuracy!G58</f>
        <v>51</v>
      </c>
      <c r="G263" s="12" t="n">
        <v>51</v>
      </c>
      <c r="H263" s="10" t="n">
        <f aca="false">F263-G263</f>
        <v>0</v>
      </c>
      <c r="I263" s="10" t="str">
        <f aca="false">IF(ABS(H263)&lt;=0.000001,"PASS","FAIL")</f>
        <v>PASS</v>
      </c>
      <c r="J263" s="10" t="s">
        <v>1133</v>
      </c>
    </row>
    <row r="264" customFormat="false" ht="15" hidden="false" customHeight="false" outlineLevel="0" collapsed="false">
      <c r="A264" s="10" t="s">
        <v>1658</v>
      </c>
      <c r="B264" s="10" t="s">
        <v>1100</v>
      </c>
      <c r="C264" s="10" t="s">
        <v>1659</v>
      </c>
      <c r="D264" s="10" t="s">
        <v>1136</v>
      </c>
      <c r="E264" s="10" t="s">
        <v>200</v>
      </c>
      <c r="F264" s="22" t="n">
        <f aca="false">Guidance_Accuracy!I58</f>
        <v>50821</v>
      </c>
      <c r="G264" s="12" t="n">
        <v>50821</v>
      </c>
      <c r="H264" s="10" t="n">
        <f aca="false">F264-G264</f>
        <v>0</v>
      </c>
      <c r="I264" s="10" t="str">
        <f aca="false">IF(ABS(H264)&lt;=0.000001,"PASS","FAIL")</f>
        <v>PASS</v>
      </c>
      <c r="J264" s="10" t="s">
        <v>1660</v>
      </c>
    </row>
    <row r="265" customFormat="false" ht="15" hidden="false" customHeight="false" outlineLevel="0" collapsed="false">
      <c r="A265" s="10" t="s">
        <v>1661</v>
      </c>
      <c r="B265" s="10" t="s">
        <v>1101</v>
      </c>
      <c r="C265" s="10" t="s">
        <v>1662</v>
      </c>
      <c r="D265" s="10" t="s">
        <v>1136</v>
      </c>
      <c r="E265" s="10" t="s">
        <v>112</v>
      </c>
      <c r="F265" s="25" t="n">
        <f aca="false">Guidance_Accuracy!S58</f>
        <v>0</v>
      </c>
      <c r="G265" s="12" t="n">
        <v>0</v>
      </c>
      <c r="H265" s="10" t="n">
        <f aca="false">F265-G265</f>
        <v>0</v>
      </c>
      <c r="I265" s="10" t="str">
        <f aca="false">IF(ABS(H265)&lt;=0.000001,"PASS","FAIL")</f>
        <v>PASS</v>
      </c>
      <c r="J265" s="10" t="s">
        <v>1288</v>
      </c>
    </row>
    <row r="266" customFormat="false" ht="15" hidden="false" customHeight="false" outlineLevel="0" collapsed="false">
      <c r="A266" s="10" t="s">
        <v>1663</v>
      </c>
      <c r="B266" s="10" t="s">
        <v>1099</v>
      </c>
      <c r="C266" s="10" t="s">
        <v>1664</v>
      </c>
      <c r="D266" s="10" t="s">
        <v>1124</v>
      </c>
      <c r="E266" s="10" t="s">
        <v>201</v>
      </c>
      <c r="F266" s="24" t="n">
        <f aca="false">Guidance_Accuracy!D59</f>
        <v>45516</v>
      </c>
      <c r="G266" s="11" t="n">
        <v>45516</v>
      </c>
      <c r="H266" s="10" t="n">
        <f aca="false">F266-G266</f>
        <v>0</v>
      </c>
      <c r="I266" s="10" t="str">
        <f aca="false">IF(ABS(H266)&lt;=0.000001,"PASS","FAIL")</f>
        <v>PASS</v>
      </c>
      <c r="J266" s="10" t="s">
        <v>1125</v>
      </c>
    </row>
    <row r="267" customFormat="false" ht="15" hidden="false" customHeight="false" outlineLevel="0" collapsed="false">
      <c r="A267" s="10" t="s">
        <v>1665</v>
      </c>
      <c r="B267" s="10" t="s">
        <v>1099</v>
      </c>
      <c r="C267" s="10" t="s">
        <v>1666</v>
      </c>
      <c r="D267" s="10" t="s">
        <v>1124</v>
      </c>
      <c r="E267" s="10" t="s">
        <v>201</v>
      </c>
      <c r="F267" s="10" t="str">
        <f aca="false">Guidance_Accuracy!E59</f>
        <v>Free cash flow</v>
      </c>
      <c r="G267" s="12" t="s">
        <v>196</v>
      </c>
      <c r="H267" s="10" t="n">
        <f aca="false">IF(EXACT(F267,G267),0,1)</f>
        <v>0</v>
      </c>
      <c r="I267" s="10" t="str">
        <f aca="false">IF(ABS(H267)&lt;=0.000001,"PASS","FAIL")</f>
        <v>PASS</v>
      </c>
      <c r="J267" s="10" t="s">
        <v>29</v>
      </c>
    </row>
    <row r="268" customFormat="false" ht="15" hidden="false" customHeight="false" outlineLevel="0" collapsed="false">
      <c r="A268" s="10" t="s">
        <v>1667</v>
      </c>
      <c r="B268" s="10" t="s">
        <v>1099</v>
      </c>
      <c r="C268" s="10" t="s">
        <v>1668</v>
      </c>
      <c r="D268" s="10" t="s">
        <v>1124</v>
      </c>
      <c r="E268" s="10" t="s">
        <v>201</v>
      </c>
      <c r="F268" s="14" t="n">
        <f aca="false">Guidance_Accuracy!F59</f>
        <v>70</v>
      </c>
      <c r="G268" s="12" t="n">
        <v>70</v>
      </c>
      <c r="H268" s="10" t="n">
        <f aca="false">F268-G268</f>
        <v>0</v>
      </c>
      <c r="I268" s="10" t="str">
        <f aca="false">IF(ABS(H268)&lt;=0.000001,"PASS","FAIL")</f>
        <v>PASS</v>
      </c>
      <c r="J268" s="10" t="s">
        <v>1130</v>
      </c>
    </row>
    <row r="269" customFormat="false" ht="15" hidden="false" customHeight="false" outlineLevel="0" collapsed="false">
      <c r="A269" s="10" t="s">
        <v>1669</v>
      </c>
      <c r="B269" s="10" t="s">
        <v>1099</v>
      </c>
      <c r="C269" s="10" t="s">
        <v>1670</v>
      </c>
      <c r="D269" s="10" t="s">
        <v>1124</v>
      </c>
      <c r="E269" s="10" t="s">
        <v>201</v>
      </c>
      <c r="F269" s="14" t="n">
        <f aca="false">Guidance_Accuracy!G59</f>
        <v>74</v>
      </c>
      <c r="G269" s="12" t="n">
        <v>74</v>
      </c>
      <c r="H269" s="10" t="n">
        <f aca="false">F269-G269</f>
        <v>0</v>
      </c>
      <c r="I269" s="10" t="str">
        <f aca="false">IF(ABS(H269)&lt;=0.000001,"PASS","FAIL")</f>
        <v>PASS</v>
      </c>
      <c r="J269" s="10" t="s">
        <v>1133</v>
      </c>
    </row>
    <row r="270" customFormat="false" ht="15" hidden="false" customHeight="false" outlineLevel="0" collapsed="false">
      <c r="A270" s="10" t="s">
        <v>1671</v>
      </c>
      <c r="B270" s="10" t="s">
        <v>1100</v>
      </c>
      <c r="C270" s="10" t="s">
        <v>1672</v>
      </c>
      <c r="D270" s="10" t="s">
        <v>1136</v>
      </c>
      <c r="E270" s="10" t="s">
        <v>202</v>
      </c>
      <c r="F270" s="22" t="n">
        <f aca="false">Guidance_Accuracy!I59</f>
        <v>82412</v>
      </c>
      <c r="G270" s="12" t="n">
        <v>82412</v>
      </c>
      <c r="H270" s="10" t="n">
        <f aca="false">F270-G270</f>
        <v>0</v>
      </c>
      <c r="I270" s="10" t="str">
        <f aca="false">IF(ABS(H270)&lt;=0.000001,"PASS","FAIL")</f>
        <v>PASS</v>
      </c>
      <c r="J270" s="10" t="s">
        <v>1673</v>
      </c>
    </row>
    <row r="271" customFormat="false" ht="15" hidden="false" customHeight="false" outlineLevel="0" collapsed="false">
      <c r="A271" s="10" t="s">
        <v>1674</v>
      </c>
      <c r="B271" s="10" t="s">
        <v>1099</v>
      </c>
      <c r="C271" s="10" t="s">
        <v>1675</v>
      </c>
      <c r="D271" s="10" t="s">
        <v>1124</v>
      </c>
      <c r="E271" s="10" t="s">
        <v>203</v>
      </c>
      <c r="F271" s="24" t="n">
        <f aca="false">Guidance_Accuracy!D60</f>
        <v>45608</v>
      </c>
      <c r="G271" s="11" t="n">
        <v>45608</v>
      </c>
      <c r="H271" s="10" t="n">
        <f aca="false">F271-G271</f>
        <v>0</v>
      </c>
      <c r="I271" s="10" t="str">
        <f aca="false">IF(ABS(H271)&lt;=0.000001,"PASS","FAIL")</f>
        <v>PASS</v>
      </c>
      <c r="J271" s="10" t="s">
        <v>1125</v>
      </c>
    </row>
    <row r="272" customFormat="false" ht="15" hidden="false" customHeight="false" outlineLevel="0" collapsed="false">
      <c r="A272" s="10" t="s">
        <v>1676</v>
      </c>
      <c r="B272" s="10" t="s">
        <v>1099</v>
      </c>
      <c r="C272" s="10" t="s">
        <v>1677</v>
      </c>
      <c r="D272" s="10" t="s">
        <v>1124</v>
      </c>
      <c r="E272" s="10" t="s">
        <v>203</v>
      </c>
      <c r="F272" s="10" t="str">
        <f aca="false">Guidance_Accuracy!E60</f>
        <v>Free cash flow</v>
      </c>
      <c r="G272" s="12" t="s">
        <v>196</v>
      </c>
      <c r="H272" s="10" t="n">
        <f aca="false">IF(EXACT(F272,G272),0,1)</f>
        <v>0</v>
      </c>
      <c r="I272" s="10" t="str">
        <f aca="false">IF(ABS(H272)&lt;=0.000001,"PASS","FAIL")</f>
        <v>PASS</v>
      </c>
      <c r="J272" s="10" t="s">
        <v>29</v>
      </c>
    </row>
    <row r="273" customFormat="false" ht="15" hidden="false" customHeight="false" outlineLevel="0" collapsed="false">
      <c r="A273" s="10" t="s">
        <v>1678</v>
      </c>
      <c r="B273" s="10" t="s">
        <v>1099</v>
      </c>
      <c r="C273" s="10" t="s">
        <v>1679</v>
      </c>
      <c r="D273" s="10" t="s">
        <v>1124</v>
      </c>
      <c r="E273" s="10" t="s">
        <v>203</v>
      </c>
      <c r="F273" s="14" t="n">
        <f aca="false">Guidance_Accuracy!F60</f>
        <v>63</v>
      </c>
      <c r="G273" s="12" t="n">
        <v>63</v>
      </c>
      <c r="H273" s="10" t="n">
        <f aca="false">F273-G273</f>
        <v>0</v>
      </c>
      <c r="I273" s="10" t="str">
        <f aca="false">IF(ABS(H273)&lt;=0.000001,"PASS","FAIL")</f>
        <v>PASS</v>
      </c>
      <c r="J273" s="10" t="s">
        <v>1130</v>
      </c>
    </row>
    <row r="274" customFormat="false" ht="15" hidden="false" customHeight="false" outlineLevel="0" collapsed="false">
      <c r="A274" s="10" t="s">
        <v>1680</v>
      </c>
      <c r="B274" s="10" t="s">
        <v>1099</v>
      </c>
      <c r="C274" s="10" t="s">
        <v>1681</v>
      </c>
      <c r="D274" s="10" t="s">
        <v>1124</v>
      </c>
      <c r="E274" s="10" t="s">
        <v>203</v>
      </c>
      <c r="F274" s="14" t="n">
        <f aca="false">Guidance_Accuracy!G60</f>
        <v>66</v>
      </c>
      <c r="G274" s="12" t="n">
        <v>66</v>
      </c>
      <c r="H274" s="10" t="n">
        <f aca="false">F274-G274</f>
        <v>0</v>
      </c>
      <c r="I274" s="10" t="str">
        <f aca="false">IF(ABS(H274)&lt;=0.000001,"PASS","FAIL")</f>
        <v>PASS</v>
      </c>
      <c r="J274" s="10" t="s">
        <v>1133</v>
      </c>
    </row>
    <row r="275" customFormat="false" ht="15" hidden="false" customHeight="false" outlineLevel="0" collapsed="false">
      <c r="A275" s="10" t="s">
        <v>1682</v>
      </c>
      <c r="B275" s="10" t="s">
        <v>1100</v>
      </c>
      <c r="C275" s="10" t="s">
        <v>1683</v>
      </c>
      <c r="D275" s="10" t="s">
        <v>1136</v>
      </c>
      <c r="E275" s="10" t="s">
        <v>204</v>
      </c>
      <c r="F275" s="22" t="n">
        <f aca="false">Guidance_Accuracy!I60</f>
        <v>72703</v>
      </c>
      <c r="G275" s="12" t="n">
        <v>72703</v>
      </c>
      <c r="H275" s="10" t="n">
        <f aca="false">F275-G275</f>
        <v>0</v>
      </c>
      <c r="I275" s="10" t="str">
        <f aca="false">IF(ABS(H275)&lt;=0.000001,"PASS","FAIL")</f>
        <v>PASS</v>
      </c>
      <c r="J275" s="10" t="s">
        <v>1684</v>
      </c>
    </row>
    <row r="276" customFormat="false" ht="15" hidden="false" customHeight="false" outlineLevel="0" collapsed="false">
      <c r="A276" s="10" t="s">
        <v>1685</v>
      </c>
      <c r="B276" s="10" t="s">
        <v>1099</v>
      </c>
      <c r="C276" s="10" t="s">
        <v>1686</v>
      </c>
      <c r="D276" s="10" t="s">
        <v>1124</v>
      </c>
      <c r="E276" s="10" t="s">
        <v>231</v>
      </c>
      <c r="F276" s="10" t="str">
        <f aca="false">Guidance_Accuracy!D80</f>
        <v>Q2 2021</v>
      </c>
      <c r="G276" s="12" t="s">
        <v>232</v>
      </c>
      <c r="H276" s="10" t="n">
        <f aca="false">IF(EXACT(F276,G276),0,1)</f>
        <v>0</v>
      </c>
      <c r="I276" s="10" t="str">
        <f aca="false">IF(ABS(H276)&lt;=0.000001,"PASS","FAIL")</f>
        <v>PASS</v>
      </c>
      <c r="J276" s="10" t="s">
        <v>1687</v>
      </c>
    </row>
    <row r="277" customFormat="false" ht="15" hidden="false" customHeight="false" outlineLevel="0" collapsed="false">
      <c r="A277" s="10" t="s">
        <v>1688</v>
      </c>
      <c r="B277" s="10" t="s">
        <v>1099</v>
      </c>
      <c r="C277" s="10" t="s">
        <v>1689</v>
      </c>
      <c r="D277" s="10" t="s">
        <v>1124</v>
      </c>
      <c r="E277" s="10" t="s">
        <v>231</v>
      </c>
      <c r="F277" s="10" t="str">
        <f aca="false">Guidance_Accuracy!E80</f>
        <v>Non-GAAP operating income (loss)</v>
      </c>
      <c r="G277" s="12" t="s">
        <v>151</v>
      </c>
      <c r="H277" s="10" t="n">
        <f aca="false">IF(EXACT(F277,G277),0,1)</f>
        <v>0</v>
      </c>
      <c r="I277" s="10" t="str">
        <f aca="false">IF(ABS(H277)&lt;=0.000001,"PASS","FAIL")</f>
        <v>PASS</v>
      </c>
      <c r="J277" s="10" t="s">
        <v>1690</v>
      </c>
    </row>
    <row r="278" customFormat="false" ht="15" hidden="false" customHeight="false" outlineLevel="0" collapsed="false">
      <c r="A278" s="10" t="s">
        <v>1691</v>
      </c>
      <c r="B278" s="10" t="s">
        <v>1099</v>
      </c>
      <c r="C278" s="10" t="s">
        <v>1692</v>
      </c>
      <c r="D278" s="10" t="s">
        <v>1124</v>
      </c>
      <c r="E278" s="10" t="s">
        <v>231</v>
      </c>
      <c r="F278" s="14" t="n">
        <f aca="false">Guidance_Accuracy!F80</f>
        <v>-93</v>
      </c>
      <c r="G278" s="12" t="n">
        <v>-93</v>
      </c>
      <c r="H278" s="10" t="n">
        <f aca="false">F278-G278</f>
        <v>0</v>
      </c>
      <c r="I278" s="10" t="str">
        <f aca="false">IF(ABS(H278)&lt;=0.000001,"PASS","FAIL")</f>
        <v>PASS</v>
      </c>
      <c r="J278" s="10" t="s">
        <v>1693</v>
      </c>
    </row>
    <row r="279" customFormat="false" ht="15" hidden="false" customHeight="false" outlineLevel="0" collapsed="false">
      <c r="A279" s="10" t="s">
        <v>1694</v>
      </c>
      <c r="B279" s="10" t="s">
        <v>1099</v>
      </c>
      <c r="C279" s="10" t="s">
        <v>1695</v>
      </c>
      <c r="D279" s="10" t="s">
        <v>1124</v>
      </c>
      <c r="E279" s="10" t="s">
        <v>231</v>
      </c>
      <c r="F279" s="14" t="n">
        <f aca="false">Guidance_Accuracy!G80</f>
        <v>-91</v>
      </c>
      <c r="G279" s="12" t="n">
        <v>-91</v>
      </c>
      <c r="H279" s="10" t="n">
        <f aca="false">F279-G279</f>
        <v>0</v>
      </c>
      <c r="I279" s="10" t="str">
        <f aca="false">IF(ABS(H279)&lt;=0.000001,"PASS","FAIL")</f>
        <v>PASS</v>
      </c>
      <c r="J279" s="10" t="s">
        <v>1696</v>
      </c>
    </row>
    <row r="280" customFormat="false" ht="15" hidden="false" customHeight="false" outlineLevel="0" collapsed="false">
      <c r="A280" s="10" t="s">
        <v>1697</v>
      </c>
      <c r="B280" s="10" t="s">
        <v>1100</v>
      </c>
      <c r="C280" s="10" t="s">
        <v>1698</v>
      </c>
      <c r="D280" s="10" t="s">
        <v>1136</v>
      </c>
      <c r="E280" s="10" t="s">
        <v>233</v>
      </c>
      <c r="F280" s="22" t="n">
        <f aca="false">Guidance_Accuracy!I80</f>
        <v>-52596</v>
      </c>
      <c r="G280" s="12" t="n">
        <v>-52596</v>
      </c>
      <c r="H280" s="10" t="n">
        <f aca="false">F280-G280</f>
        <v>0</v>
      </c>
      <c r="I280" s="10" t="str">
        <f aca="false">IF(ABS(H280)&lt;=0.000001,"PASS","FAIL")</f>
        <v>PASS</v>
      </c>
      <c r="J280" s="10" t="s">
        <v>1699</v>
      </c>
    </row>
    <row r="281" customFormat="false" ht="15" hidden="false" customHeight="false" outlineLevel="0" collapsed="false">
      <c r="A281" s="10" t="s">
        <v>1700</v>
      </c>
      <c r="B281" s="10" t="s">
        <v>1099</v>
      </c>
      <c r="C281" s="10" t="s">
        <v>1701</v>
      </c>
      <c r="D281" s="10" t="s">
        <v>1124</v>
      </c>
      <c r="E281" s="10" t="s">
        <v>234</v>
      </c>
      <c r="F281" s="10" t="str">
        <f aca="false">Guidance_Accuracy!D81</f>
        <v>Q2 2021</v>
      </c>
      <c r="G281" s="12" t="s">
        <v>232</v>
      </c>
      <c r="H281" s="10" t="n">
        <f aca="false">IF(EXACT(F281,G281),0,1)</f>
        <v>0</v>
      </c>
      <c r="I281" s="10" t="str">
        <f aca="false">IF(ABS(H281)&lt;=0.000001,"PASS","FAIL")</f>
        <v>PASS</v>
      </c>
      <c r="J281" s="10" t="s">
        <v>1687</v>
      </c>
    </row>
    <row r="282" customFormat="false" ht="15" hidden="false" customHeight="false" outlineLevel="0" collapsed="false">
      <c r="A282" s="10" t="s">
        <v>1702</v>
      </c>
      <c r="B282" s="10" t="s">
        <v>1099</v>
      </c>
      <c r="C282" s="10" t="s">
        <v>1703</v>
      </c>
      <c r="D282" s="10" t="s">
        <v>1124</v>
      </c>
      <c r="E282" s="10" t="s">
        <v>234</v>
      </c>
      <c r="F282" s="10" t="str">
        <f aca="false">Guidance_Accuracy!E81</f>
        <v>Revenue</v>
      </c>
      <c r="G282" s="12" t="s">
        <v>24</v>
      </c>
      <c r="H282" s="10" t="n">
        <f aca="false">IF(EXACT(F282,G282),0,1)</f>
        <v>0</v>
      </c>
      <c r="I282" s="10" t="str">
        <f aca="false">IF(ABS(H282)&lt;=0.000001,"PASS","FAIL")</f>
        <v>PASS</v>
      </c>
      <c r="J282" s="10" t="s">
        <v>1690</v>
      </c>
    </row>
    <row r="283" customFormat="false" ht="15" hidden="false" customHeight="false" outlineLevel="0" collapsed="false">
      <c r="A283" s="10" t="s">
        <v>1704</v>
      </c>
      <c r="B283" s="10" t="s">
        <v>1099</v>
      </c>
      <c r="C283" s="10" t="s">
        <v>1705</v>
      </c>
      <c r="D283" s="10" t="s">
        <v>1124</v>
      </c>
      <c r="E283" s="10" t="s">
        <v>234</v>
      </c>
      <c r="F283" s="14" t="n">
        <f aca="false">Guidance_Accuracy!F81</f>
        <v>280</v>
      </c>
      <c r="G283" s="12" t="n">
        <v>280</v>
      </c>
      <c r="H283" s="10" t="n">
        <f aca="false">F283-G283</f>
        <v>0</v>
      </c>
      <c r="I283" s="10" t="str">
        <f aca="false">IF(ABS(H283)&lt;=0.000001,"PASS","FAIL")</f>
        <v>PASS</v>
      </c>
      <c r="J283" s="10" t="s">
        <v>1693</v>
      </c>
    </row>
    <row r="284" customFormat="false" ht="15" hidden="false" customHeight="false" outlineLevel="0" collapsed="false">
      <c r="A284" s="10" t="s">
        <v>1706</v>
      </c>
      <c r="B284" s="10" t="s">
        <v>1099</v>
      </c>
      <c r="C284" s="10" t="s">
        <v>1707</v>
      </c>
      <c r="D284" s="10" t="s">
        <v>1124</v>
      </c>
      <c r="E284" s="10" t="s">
        <v>234</v>
      </c>
      <c r="F284" s="14" t="n">
        <f aca="false">Guidance_Accuracy!G81</f>
        <v>282</v>
      </c>
      <c r="G284" s="12" t="n">
        <v>282</v>
      </c>
      <c r="H284" s="10" t="n">
        <f aca="false">F284-G284</f>
        <v>0</v>
      </c>
      <c r="I284" s="10" t="str">
        <f aca="false">IF(ABS(H284)&lt;=0.000001,"PASS","FAIL")</f>
        <v>PASS</v>
      </c>
      <c r="J284" s="10" t="s">
        <v>1696</v>
      </c>
    </row>
    <row r="285" customFormat="false" ht="15" hidden="false" customHeight="false" outlineLevel="0" collapsed="false">
      <c r="A285" s="10" t="s">
        <v>1708</v>
      </c>
      <c r="B285" s="10" t="s">
        <v>1100</v>
      </c>
      <c r="C285" s="10" t="s">
        <v>1709</v>
      </c>
      <c r="D285" s="10" t="s">
        <v>1136</v>
      </c>
      <c r="E285" s="10" t="s">
        <v>235</v>
      </c>
      <c r="F285" s="22" t="n">
        <f aca="false">Guidance_Accuracy!I81</f>
        <v>308150</v>
      </c>
      <c r="G285" s="12" t="n">
        <v>308150</v>
      </c>
      <c r="H285" s="10" t="n">
        <f aca="false">F285-G285</f>
        <v>0</v>
      </c>
      <c r="I285" s="10" t="str">
        <f aca="false">IF(ABS(H285)&lt;=0.000001,"PASS","FAIL")</f>
        <v>PASS</v>
      </c>
      <c r="J285" s="10" t="s">
        <v>1710</v>
      </c>
    </row>
    <row r="286" customFormat="false" ht="15" hidden="false" customHeight="false" outlineLevel="0" collapsed="false">
      <c r="A286" s="10" t="s">
        <v>1711</v>
      </c>
      <c r="B286" s="10" t="s">
        <v>1099</v>
      </c>
      <c r="C286" s="10" t="s">
        <v>1712</v>
      </c>
      <c r="D286" s="10" t="s">
        <v>1124</v>
      </c>
      <c r="E286" s="10" t="s">
        <v>236</v>
      </c>
      <c r="F286" s="10" t="str">
        <f aca="false">Guidance_Accuracy!D82</f>
        <v>Q3 2021</v>
      </c>
      <c r="G286" s="12" t="s">
        <v>54</v>
      </c>
      <c r="H286" s="10" t="n">
        <f aca="false">IF(EXACT(F286,G286),0,1)</f>
        <v>0</v>
      </c>
      <c r="I286" s="10" t="str">
        <f aca="false">IF(ABS(H286)&lt;=0.000001,"PASS","FAIL")</f>
        <v>PASS</v>
      </c>
      <c r="J286" s="10" t="s">
        <v>1687</v>
      </c>
    </row>
    <row r="287" customFormat="false" ht="15" hidden="false" customHeight="false" outlineLevel="0" collapsed="false">
      <c r="A287" s="10" t="s">
        <v>1713</v>
      </c>
      <c r="B287" s="10" t="s">
        <v>1099</v>
      </c>
      <c r="C287" s="10" t="s">
        <v>1714</v>
      </c>
      <c r="D287" s="10" t="s">
        <v>1124</v>
      </c>
      <c r="E287" s="10" t="s">
        <v>236</v>
      </c>
      <c r="F287" s="10" t="str">
        <f aca="false">Guidance_Accuracy!E82</f>
        <v>Non-GAAP operating income (loss)</v>
      </c>
      <c r="G287" s="12" t="s">
        <v>151</v>
      </c>
      <c r="H287" s="10" t="n">
        <f aca="false">IF(EXACT(F287,G287),0,1)</f>
        <v>0</v>
      </c>
      <c r="I287" s="10" t="str">
        <f aca="false">IF(ABS(H287)&lt;=0.000001,"PASS","FAIL")</f>
        <v>PASS</v>
      </c>
      <c r="J287" s="10" t="s">
        <v>1690</v>
      </c>
    </row>
    <row r="288" customFormat="false" ht="15" hidden="false" customHeight="false" outlineLevel="0" collapsed="false">
      <c r="A288" s="10" t="s">
        <v>1715</v>
      </c>
      <c r="B288" s="10" t="s">
        <v>1099</v>
      </c>
      <c r="C288" s="10" t="s">
        <v>1716</v>
      </c>
      <c r="D288" s="10" t="s">
        <v>1124</v>
      </c>
      <c r="E288" s="10" t="s">
        <v>236</v>
      </c>
      <c r="F288" s="14" t="n">
        <f aca="false">Guidance_Accuracy!F82</f>
        <v>-65</v>
      </c>
      <c r="G288" s="12" t="n">
        <v>-65</v>
      </c>
      <c r="H288" s="10" t="n">
        <f aca="false">F288-G288</f>
        <v>0</v>
      </c>
      <c r="I288" s="10" t="str">
        <f aca="false">IF(ABS(H288)&lt;=0.000001,"PASS","FAIL")</f>
        <v>PASS</v>
      </c>
      <c r="J288" s="10" t="s">
        <v>1693</v>
      </c>
    </row>
    <row r="289" customFormat="false" ht="15" hidden="false" customHeight="false" outlineLevel="0" collapsed="false">
      <c r="A289" s="10" t="s">
        <v>1717</v>
      </c>
      <c r="B289" s="10" t="s">
        <v>1099</v>
      </c>
      <c r="C289" s="10" t="s">
        <v>1718</v>
      </c>
      <c r="D289" s="10" t="s">
        <v>1124</v>
      </c>
      <c r="E289" s="10" t="s">
        <v>236</v>
      </c>
      <c r="F289" s="14" t="n">
        <f aca="false">Guidance_Accuracy!G82</f>
        <v>-64</v>
      </c>
      <c r="G289" s="12" t="n">
        <v>-64</v>
      </c>
      <c r="H289" s="10" t="n">
        <f aca="false">F289-G289</f>
        <v>0</v>
      </c>
      <c r="I289" s="10" t="str">
        <f aca="false">IF(ABS(H289)&lt;=0.000001,"PASS","FAIL")</f>
        <v>PASS</v>
      </c>
      <c r="J289" s="10" t="s">
        <v>1696</v>
      </c>
    </row>
    <row r="290" customFormat="false" ht="15" hidden="false" customHeight="false" outlineLevel="0" collapsed="false">
      <c r="A290" s="10" t="s">
        <v>1719</v>
      </c>
      <c r="B290" s="10" t="s">
        <v>1100</v>
      </c>
      <c r="C290" s="10" t="s">
        <v>1720</v>
      </c>
      <c r="D290" s="10" t="s">
        <v>1136</v>
      </c>
      <c r="E290" s="10" t="s">
        <v>233</v>
      </c>
      <c r="F290" s="22" t="n">
        <f aca="false">Guidance_Accuracy!I82</f>
        <v>-52596</v>
      </c>
      <c r="G290" s="12" t="n">
        <v>-52596</v>
      </c>
      <c r="H290" s="10" t="n">
        <f aca="false">F290-G290</f>
        <v>0</v>
      </c>
      <c r="I290" s="10" t="str">
        <f aca="false">IF(ABS(H290)&lt;=0.000001,"PASS","FAIL")</f>
        <v>PASS</v>
      </c>
      <c r="J290" s="10" t="s">
        <v>1699</v>
      </c>
    </row>
    <row r="291" customFormat="false" ht="15" hidden="false" customHeight="false" outlineLevel="0" collapsed="false">
      <c r="A291" s="10" t="s">
        <v>1721</v>
      </c>
      <c r="B291" s="10" t="s">
        <v>1099</v>
      </c>
      <c r="C291" s="10" t="s">
        <v>1722</v>
      </c>
      <c r="D291" s="10" t="s">
        <v>1124</v>
      </c>
      <c r="E291" s="10" t="s">
        <v>237</v>
      </c>
      <c r="F291" s="10" t="str">
        <f aca="false">Guidance_Accuracy!D83</f>
        <v>Q3 2021</v>
      </c>
      <c r="G291" s="12" t="s">
        <v>54</v>
      </c>
      <c r="H291" s="10" t="n">
        <f aca="false">IF(EXACT(F291,G291),0,1)</f>
        <v>0</v>
      </c>
      <c r="I291" s="10" t="str">
        <f aca="false">IF(ABS(H291)&lt;=0.000001,"PASS","FAIL")</f>
        <v>PASS</v>
      </c>
      <c r="J291" s="10" t="s">
        <v>1687</v>
      </c>
    </row>
    <row r="292" customFormat="false" ht="15" hidden="false" customHeight="false" outlineLevel="0" collapsed="false">
      <c r="A292" s="10" t="s">
        <v>1723</v>
      </c>
      <c r="B292" s="10" t="s">
        <v>1099</v>
      </c>
      <c r="C292" s="10" t="s">
        <v>1724</v>
      </c>
      <c r="D292" s="10" t="s">
        <v>1124</v>
      </c>
      <c r="E292" s="10" t="s">
        <v>237</v>
      </c>
      <c r="F292" s="10" t="str">
        <f aca="false">Guidance_Accuracy!E83</f>
        <v>Revenue</v>
      </c>
      <c r="G292" s="12" t="s">
        <v>24</v>
      </c>
      <c r="H292" s="10" t="n">
        <f aca="false">IF(EXACT(F292,G292),0,1)</f>
        <v>0</v>
      </c>
      <c r="I292" s="10" t="str">
        <f aca="false">IF(ABS(H292)&lt;=0.000001,"PASS","FAIL")</f>
        <v>PASS</v>
      </c>
      <c r="J292" s="10" t="s">
        <v>1690</v>
      </c>
    </row>
    <row r="293" customFormat="false" ht="15" hidden="false" customHeight="false" outlineLevel="0" collapsed="false">
      <c r="A293" s="10" t="s">
        <v>1725</v>
      </c>
      <c r="B293" s="10" t="s">
        <v>1099</v>
      </c>
      <c r="C293" s="10" t="s">
        <v>1726</v>
      </c>
      <c r="D293" s="10" t="s">
        <v>1124</v>
      </c>
      <c r="E293" s="10" t="s">
        <v>237</v>
      </c>
      <c r="F293" s="14" t="n">
        <f aca="false">Guidance_Accuracy!F83</f>
        <v>300</v>
      </c>
      <c r="G293" s="12" t="n">
        <v>300</v>
      </c>
      <c r="H293" s="10" t="n">
        <f aca="false">F293-G293</f>
        <v>0</v>
      </c>
      <c r="I293" s="10" t="str">
        <f aca="false">IF(ABS(H293)&lt;=0.000001,"PASS","FAIL")</f>
        <v>PASS</v>
      </c>
      <c r="J293" s="10" t="s">
        <v>1693</v>
      </c>
    </row>
    <row r="294" customFormat="false" ht="15" hidden="false" customHeight="false" outlineLevel="0" collapsed="false">
      <c r="A294" s="10" t="s">
        <v>1727</v>
      </c>
      <c r="B294" s="10" t="s">
        <v>1099</v>
      </c>
      <c r="C294" s="10" t="s">
        <v>1728</v>
      </c>
      <c r="D294" s="10" t="s">
        <v>1124</v>
      </c>
      <c r="E294" s="10" t="s">
        <v>237</v>
      </c>
      <c r="F294" s="14" t="n">
        <f aca="false">Guidance_Accuracy!G83</f>
        <v>301</v>
      </c>
      <c r="G294" s="12" t="n">
        <v>301</v>
      </c>
      <c r="H294" s="10" t="n">
        <f aca="false">F294-G294</f>
        <v>0</v>
      </c>
      <c r="I294" s="10" t="str">
        <f aca="false">IF(ABS(H294)&lt;=0.000001,"PASS","FAIL")</f>
        <v>PASS</v>
      </c>
      <c r="J294" s="10" t="s">
        <v>1696</v>
      </c>
    </row>
    <row r="295" customFormat="false" ht="15" hidden="false" customHeight="false" outlineLevel="0" collapsed="false">
      <c r="A295" s="10" t="s">
        <v>1729</v>
      </c>
      <c r="B295" s="10" t="s">
        <v>1100</v>
      </c>
      <c r="C295" s="10" t="s">
        <v>1730</v>
      </c>
      <c r="D295" s="10" t="s">
        <v>1136</v>
      </c>
      <c r="E295" s="10" t="s">
        <v>235</v>
      </c>
      <c r="F295" s="22" t="n">
        <f aca="false">Guidance_Accuracy!I83</f>
        <v>308150</v>
      </c>
      <c r="G295" s="12" t="n">
        <v>308150</v>
      </c>
      <c r="H295" s="10" t="n">
        <f aca="false">F295-G295</f>
        <v>0</v>
      </c>
      <c r="I295" s="10" t="str">
        <f aca="false">IF(ABS(H295)&lt;=0.000001,"PASS","FAIL")</f>
        <v>PASS</v>
      </c>
      <c r="J295" s="10" t="s">
        <v>1710</v>
      </c>
    </row>
    <row r="296" customFormat="false" ht="15" hidden="false" customHeight="false" outlineLevel="0" collapsed="false">
      <c r="A296" s="10" t="s">
        <v>1731</v>
      </c>
      <c r="B296" s="10" t="s">
        <v>1099</v>
      </c>
      <c r="C296" s="10" t="s">
        <v>1732</v>
      </c>
      <c r="D296" s="10" t="s">
        <v>1124</v>
      </c>
      <c r="E296" s="10" t="s">
        <v>239</v>
      </c>
      <c r="F296" s="10" t="str">
        <f aca="false">Guidance_Accuracy!D84</f>
        <v>Q4 2021</v>
      </c>
      <c r="G296" s="12" t="s">
        <v>59</v>
      </c>
      <c r="H296" s="10" t="n">
        <f aca="false">IF(EXACT(F296,G296),0,1)</f>
        <v>0</v>
      </c>
      <c r="I296" s="10" t="str">
        <f aca="false">IF(ABS(H296)&lt;=0.000001,"PASS","FAIL")</f>
        <v>PASS</v>
      </c>
      <c r="J296" s="10" t="s">
        <v>1687</v>
      </c>
    </row>
    <row r="297" customFormat="false" ht="15" hidden="false" customHeight="false" outlineLevel="0" collapsed="false">
      <c r="A297" s="10" t="s">
        <v>1733</v>
      </c>
      <c r="B297" s="10" t="s">
        <v>1099</v>
      </c>
      <c r="C297" s="10" t="s">
        <v>1734</v>
      </c>
      <c r="D297" s="10" t="s">
        <v>1124</v>
      </c>
      <c r="E297" s="10" t="s">
        <v>239</v>
      </c>
      <c r="F297" s="10" t="str">
        <f aca="false">Guidance_Accuracy!E84</f>
        <v>Non-GAAP operating income (loss)</v>
      </c>
      <c r="G297" s="12" t="s">
        <v>151</v>
      </c>
      <c r="H297" s="10" t="n">
        <f aca="false">IF(EXACT(F297,G297),0,1)</f>
        <v>0</v>
      </c>
      <c r="I297" s="10" t="str">
        <f aca="false">IF(ABS(H297)&lt;=0.000001,"PASS","FAIL")</f>
        <v>PASS</v>
      </c>
      <c r="J297" s="10" t="s">
        <v>1690</v>
      </c>
    </row>
    <row r="298" customFormat="false" ht="15" hidden="false" customHeight="false" outlineLevel="0" collapsed="false">
      <c r="A298" s="10" t="s">
        <v>1735</v>
      </c>
      <c r="B298" s="10" t="s">
        <v>1099</v>
      </c>
      <c r="C298" s="10" t="s">
        <v>1736</v>
      </c>
      <c r="D298" s="10" t="s">
        <v>1124</v>
      </c>
      <c r="E298" s="10" t="s">
        <v>239</v>
      </c>
      <c r="F298" s="14" t="n">
        <f aca="false">Guidance_Accuracy!F84</f>
        <v>-147</v>
      </c>
      <c r="G298" s="12" t="n">
        <v>-147</v>
      </c>
      <c r="H298" s="10" t="n">
        <f aca="false">F298-G298</f>
        <v>0</v>
      </c>
      <c r="I298" s="10" t="str">
        <f aca="false">IF(ABS(H298)&lt;=0.000001,"PASS","FAIL")</f>
        <v>PASS</v>
      </c>
      <c r="J298" s="10" t="s">
        <v>1693</v>
      </c>
    </row>
    <row r="299" customFormat="false" ht="15" hidden="false" customHeight="false" outlineLevel="0" collapsed="false">
      <c r="A299" s="10" t="s">
        <v>1737</v>
      </c>
      <c r="B299" s="10" t="s">
        <v>1099</v>
      </c>
      <c r="C299" s="10" t="s">
        <v>1738</v>
      </c>
      <c r="D299" s="10" t="s">
        <v>1124</v>
      </c>
      <c r="E299" s="10" t="s">
        <v>239</v>
      </c>
      <c r="F299" s="14" t="n">
        <f aca="false">Guidance_Accuracy!G84</f>
        <v>-142</v>
      </c>
      <c r="G299" s="12" t="n">
        <v>-142</v>
      </c>
      <c r="H299" s="10" t="n">
        <f aca="false">F299-G299</f>
        <v>0</v>
      </c>
      <c r="I299" s="10" t="str">
        <f aca="false">IF(ABS(H299)&lt;=0.000001,"PASS","FAIL")</f>
        <v>PASS</v>
      </c>
      <c r="J299" s="10" t="s">
        <v>1696</v>
      </c>
    </row>
    <row r="300" customFormat="false" ht="15" hidden="false" customHeight="false" outlineLevel="0" collapsed="false">
      <c r="A300" s="10" t="s">
        <v>1739</v>
      </c>
      <c r="B300" s="10" t="s">
        <v>1100</v>
      </c>
      <c r="C300" s="10" t="s">
        <v>1740</v>
      </c>
      <c r="D300" s="10" t="s">
        <v>1136</v>
      </c>
      <c r="E300" s="10" t="s">
        <v>240</v>
      </c>
      <c r="F300" s="22" t="n">
        <f aca="false">Guidance_Accuracy!I84</f>
        <v>-47095</v>
      </c>
      <c r="G300" s="12" t="n">
        <v>-47095</v>
      </c>
      <c r="H300" s="10" t="n">
        <f aca="false">F300-G300</f>
        <v>0</v>
      </c>
      <c r="I300" s="10" t="str">
        <f aca="false">IF(ABS(H300)&lt;=0.000001,"PASS","FAIL")</f>
        <v>PASS</v>
      </c>
      <c r="J300" s="10" t="s">
        <v>1741</v>
      </c>
    </row>
    <row r="301" customFormat="false" ht="15" hidden="false" customHeight="false" outlineLevel="0" collapsed="false">
      <c r="A301" s="10" t="s">
        <v>1742</v>
      </c>
      <c r="B301" s="10" t="s">
        <v>1099</v>
      </c>
      <c r="C301" s="10" t="s">
        <v>1743</v>
      </c>
      <c r="D301" s="10" t="s">
        <v>1124</v>
      </c>
      <c r="E301" s="10" t="s">
        <v>241</v>
      </c>
      <c r="F301" s="10" t="str">
        <f aca="false">Guidance_Accuracy!D85</f>
        <v>Q4 2021</v>
      </c>
      <c r="G301" s="12" t="s">
        <v>59</v>
      </c>
      <c r="H301" s="10" t="n">
        <f aca="false">IF(EXACT(F301,G301),0,1)</f>
        <v>0</v>
      </c>
      <c r="I301" s="10" t="str">
        <f aca="false">IF(ABS(H301)&lt;=0.000001,"PASS","FAIL")</f>
        <v>PASS</v>
      </c>
      <c r="J301" s="10" t="s">
        <v>1687</v>
      </c>
    </row>
    <row r="302" customFormat="false" ht="15" hidden="false" customHeight="false" outlineLevel="0" collapsed="false">
      <c r="A302" s="10" t="s">
        <v>1744</v>
      </c>
      <c r="B302" s="10" t="s">
        <v>1099</v>
      </c>
      <c r="C302" s="10" t="s">
        <v>1745</v>
      </c>
      <c r="D302" s="10" t="s">
        <v>1124</v>
      </c>
      <c r="E302" s="10" t="s">
        <v>241</v>
      </c>
      <c r="F302" s="10" t="str">
        <f aca="false">Guidance_Accuracy!E85</f>
        <v>Revenue</v>
      </c>
      <c r="G302" s="12" t="s">
        <v>24</v>
      </c>
      <c r="H302" s="10" t="n">
        <f aca="false">IF(EXACT(F302,G302),0,1)</f>
        <v>0</v>
      </c>
      <c r="I302" s="10" t="str">
        <f aca="false">IF(ABS(H302)&lt;=0.000001,"PASS","FAIL")</f>
        <v>PASS</v>
      </c>
      <c r="J302" s="10" t="s">
        <v>1690</v>
      </c>
    </row>
    <row r="303" customFormat="false" ht="15" hidden="false" customHeight="false" outlineLevel="0" collapsed="false">
      <c r="A303" s="10" t="s">
        <v>1746</v>
      </c>
      <c r="B303" s="10" t="s">
        <v>1099</v>
      </c>
      <c r="C303" s="10" t="s">
        <v>1747</v>
      </c>
      <c r="D303" s="10" t="s">
        <v>1124</v>
      </c>
      <c r="E303" s="10" t="s">
        <v>241</v>
      </c>
      <c r="F303" s="14" t="n">
        <f aca="false">Guidance_Accuracy!F85</f>
        <v>470</v>
      </c>
      <c r="G303" s="12" t="n">
        <v>470</v>
      </c>
      <c r="H303" s="10" t="n">
        <f aca="false">F303-G303</f>
        <v>0</v>
      </c>
      <c r="I303" s="10" t="str">
        <f aca="false">IF(ABS(H303)&lt;=0.000001,"PASS","FAIL")</f>
        <v>PASS</v>
      </c>
      <c r="J303" s="10" t="s">
        <v>1693</v>
      </c>
    </row>
    <row r="304" customFormat="false" ht="15" hidden="false" customHeight="false" outlineLevel="0" collapsed="false">
      <c r="A304" s="10" t="s">
        <v>1748</v>
      </c>
      <c r="B304" s="10" t="s">
        <v>1099</v>
      </c>
      <c r="C304" s="10" t="s">
        <v>1749</v>
      </c>
      <c r="D304" s="10" t="s">
        <v>1124</v>
      </c>
      <c r="E304" s="10" t="s">
        <v>241</v>
      </c>
      <c r="F304" s="14" t="n">
        <f aca="false">Guidance_Accuracy!G85</f>
        <v>475</v>
      </c>
      <c r="G304" s="12" t="n">
        <v>475</v>
      </c>
      <c r="H304" s="10" t="n">
        <f aca="false">F304-G304</f>
        <v>0</v>
      </c>
      <c r="I304" s="10" t="str">
        <f aca="false">IF(ABS(H304)&lt;=0.000001,"PASS","FAIL")</f>
        <v>PASS</v>
      </c>
      <c r="J304" s="10" t="s">
        <v>1696</v>
      </c>
    </row>
    <row r="305" customFormat="false" ht="15" hidden="false" customHeight="false" outlineLevel="0" collapsed="false">
      <c r="A305" s="10" t="s">
        <v>1750</v>
      </c>
      <c r="B305" s="10" t="s">
        <v>1100</v>
      </c>
      <c r="C305" s="10" t="s">
        <v>1751</v>
      </c>
      <c r="D305" s="10" t="s">
        <v>1136</v>
      </c>
      <c r="E305" s="10" t="s">
        <v>242</v>
      </c>
      <c r="F305" s="22" t="n">
        <f aca="false">Guidance_Accuracy!I85</f>
        <v>519029</v>
      </c>
      <c r="G305" s="12" t="n">
        <v>519029</v>
      </c>
      <c r="H305" s="10" t="n">
        <f aca="false">F305-G305</f>
        <v>0</v>
      </c>
      <c r="I305" s="10" t="str">
        <f aca="false">IF(ABS(H305)&lt;=0.000001,"PASS","FAIL")</f>
        <v>PASS</v>
      </c>
      <c r="J305" s="10" t="s">
        <v>1752</v>
      </c>
    </row>
    <row r="306" customFormat="false" ht="15" hidden="false" customHeight="false" outlineLevel="0" collapsed="false">
      <c r="A306" s="10" t="s">
        <v>1753</v>
      </c>
      <c r="B306" s="10" t="s">
        <v>1099</v>
      </c>
      <c r="C306" s="10" t="s">
        <v>1754</v>
      </c>
      <c r="D306" s="10" t="s">
        <v>1124</v>
      </c>
      <c r="E306" s="10" t="s">
        <v>243</v>
      </c>
      <c r="F306" s="10" t="str">
        <f aca="false">Guidance_Accuracy!D86</f>
        <v>Q1 2022</v>
      </c>
      <c r="G306" s="12" t="s">
        <v>63</v>
      </c>
      <c r="H306" s="10" t="n">
        <f aca="false">IF(EXACT(F306,G306),0,1)</f>
        <v>0</v>
      </c>
      <c r="I306" s="10" t="str">
        <f aca="false">IF(ABS(H306)&lt;=0.000001,"PASS","FAIL")</f>
        <v>PASS</v>
      </c>
      <c r="J306" s="10" t="s">
        <v>1687</v>
      </c>
    </row>
    <row r="307" customFormat="false" ht="15" hidden="false" customHeight="false" outlineLevel="0" collapsed="false">
      <c r="A307" s="10" t="s">
        <v>1755</v>
      </c>
      <c r="B307" s="10" t="s">
        <v>1099</v>
      </c>
      <c r="C307" s="10" t="s">
        <v>1756</v>
      </c>
      <c r="D307" s="10" t="s">
        <v>1124</v>
      </c>
      <c r="E307" s="10" t="s">
        <v>243</v>
      </c>
      <c r="F307" s="10" t="str">
        <f aca="false">Guidance_Accuracy!E86</f>
        <v>Non-GAAP operating income (loss)</v>
      </c>
      <c r="G307" s="12" t="s">
        <v>151</v>
      </c>
      <c r="H307" s="10" t="n">
        <f aca="false">IF(EXACT(F307,G307),0,1)</f>
        <v>0</v>
      </c>
      <c r="I307" s="10" t="str">
        <f aca="false">IF(ABS(H307)&lt;=0.000001,"PASS","FAIL")</f>
        <v>PASS</v>
      </c>
      <c r="J307" s="10" t="s">
        <v>1690</v>
      </c>
    </row>
    <row r="308" customFormat="false" ht="15" hidden="false" customHeight="false" outlineLevel="0" collapsed="false">
      <c r="A308" s="10" t="s">
        <v>1757</v>
      </c>
      <c r="B308" s="10" t="s">
        <v>1099</v>
      </c>
      <c r="C308" s="10" t="s">
        <v>1758</v>
      </c>
      <c r="D308" s="10" t="s">
        <v>1124</v>
      </c>
      <c r="E308" s="10" t="s">
        <v>243</v>
      </c>
      <c r="F308" s="14" t="n">
        <f aca="false">Guidance_Accuracy!F86</f>
        <v>-139</v>
      </c>
      <c r="G308" s="12" t="n">
        <v>-139</v>
      </c>
      <c r="H308" s="10" t="n">
        <f aca="false">F308-G308</f>
        <v>0</v>
      </c>
      <c r="I308" s="10" t="str">
        <f aca="false">IF(ABS(H308)&lt;=0.000001,"PASS","FAIL")</f>
        <v>PASS</v>
      </c>
      <c r="J308" s="10" t="s">
        <v>1693</v>
      </c>
    </row>
    <row r="309" customFormat="false" ht="15" hidden="false" customHeight="false" outlineLevel="0" collapsed="false">
      <c r="A309" s="10" t="s">
        <v>1759</v>
      </c>
      <c r="B309" s="10" t="s">
        <v>1099</v>
      </c>
      <c r="C309" s="10" t="s">
        <v>1760</v>
      </c>
      <c r="D309" s="10" t="s">
        <v>1124</v>
      </c>
      <c r="E309" s="10" t="s">
        <v>243</v>
      </c>
      <c r="F309" s="14" t="n">
        <f aca="false">Guidance_Accuracy!G86</f>
        <v>-135</v>
      </c>
      <c r="G309" s="12" t="n">
        <v>-135</v>
      </c>
      <c r="H309" s="10" t="n">
        <f aca="false">F309-G309</f>
        <v>0</v>
      </c>
      <c r="I309" s="10" t="str">
        <f aca="false">IF(ABS(H309)&lt;=0.000001,"PASS","FAIL")</f>
        <v>PASS</v>
      </c>
      <c r="J309" s="10" t="s">
        <v>1696</v>
      </c>
    </row>
    <row r="310" customFormat="false" ht="15" hidden="false" customHeight="false" outlineLevel="0" collapsed="false">
      <c r="A310" s="10" t="s">
        <v>1761</v>
      </c>
      <c r="B310" s="10" t="s">
        <v>1100</v>
      </c>
      <c r="C310" s="10" t="s">
        <v>1762</v>
      </c>
      <c r="D310" s="10" t="s">
        <v>1136</v>
      </c>
      <c r="E310" s="10" t="s">
        <v>240</v>
      </c>
      <c r="F310" s="22" t="n">
        <f aca="false">Guidance_Accuracy!I86</f>
        <v>-47095</v>
      </c>
      <c r="G310" s="12" t="n">
        <v>-47095</v>
      </c>
      <c r="H310" s="10" t="n">
        <f aca="false">F310-G310</f>
        <v>0</v>
      </c>
      <c r="I310" s="10" t="str">
        <f aca="false">IF(ABS(H310)&lt;=0.000001,"PASS","FAIL")</f>
        <v>PASS</v>
      </c>
      <c r="J310" s="10" t="s">
        <v>1741</v>
      </c>
    </row>
    <row r="311" customFormat="false" ht="15" hidden="false" customHeight="false" outlineLevel="0" collapsed="false">
      <c r="A311" s="10" t="s">
        <v>1763</v>
      </c>
      <c r="B311" s="10" t="s">
        <v>1099</v>
      </c>
      <c r="C311" s="10" t="s">
        <v>1764</v>
      </c>
      <c r="D311" s="10" t="s">
        <v>1124</v>
      </c>
      <c r="E311" s="10" t="s">
        <v>244</v>
      </c>
      <c r="F311" s="10" t="str">
        <f aca="false">Guidance_Accuracy!D87</f>
        <v>Q1 2022</v>
      </c>
      <c r="G311" s="12" t="s">
        <v>63</v>
      </c>
      <c r="H311" s="10" t="n">
        <f aca="false">IF(EXACT(F311,G311),0,1)</f>
        <v>0</v>
      </c>
      <c r="I311" s="10" t="str">
        <f aca="false">IF(ABS(H311)&lt;=0.000001,"PASS","FAIL")</f>
        <v>PASS</v>
      </c>
      <c r="J311" s="10" t="s">
        <v>1687</v>
      </c>
    </row>
    <row r="312" customFormat="false" ht="15" hidden="false" customHeight="false" outlineLevel="0" collapsed="false">
      <c r="A312" s="10" t="s">
        <v>1765</v>
      </c>
      <c r="B312" s="10" t="s">
        <v>1099</v>
      </c>
      <c r="C312" s="10" t="s">
        <v>1766</v>
      </c>
      <c r="D312" s="10" t="s">
        <v>1124</v>
      </c>
      <c r="E312" s="10" t="s">
        <v>244</v>
      </c>
      <c r="F312" s="10" t="str">
        <f aca="false">Guidance_Accuracy!E87</f>
        <v>Revenue</v>
      </c>
      <c r="G312" s="12" t="s">
        <v>24</v>
      </c>
      <c r="H312" s="10" t="n">
        <f aca="false">IF(EXACT(F312,G312),0,1)</f>
        <v>0</v>
      </c>
      <c r="I312" s="10" t="str">
        <f aca="false">IF(ABS(H312)&lt;=0.000001,"PASS","FAIL")</f>
        <v>PASS</v>
      </c>
      <c r="J312" s="10" t="s">
        <v>1690</v>
      </c>
    </row>
    <row r="313" customFormat="false" ht="15" hidden="false" customHeight="false" outlineLevel="0" collapsed="false">
      <c r="A313" s="10" t="s">
        <v>1767</v>
      </c>
      <c r="B313" s="10" t="s">
        <v>1099</v>
      </c>
      <c r="C313" s="10" t="s">
        <v>1768</v>
      </c>
      <c r="D313" s="10" t="s">
        <v>1124</v>
      </c>
      <c r="E313" s="10" t="s">
        <v>244</v>
      </c>
      <c r="F313" s="14" t="n">
        <f aca="false">Guidance_Accuracy!F87</f>
        <v>488</v>
      </c>
      <c r="G313" s="12" t="n">
        <v>488</v>
      </c>
      <c r="H313" s="10" t="n">
        <f aca="false">F313-G313</f>
        <v>0</v>
      </c>
      <c r="I313" s="10" t="str">
        <f aca="false">IF(ABS(H313)&lt;=0.000001,"PASS","FAIL")</f>
        <v>PASS</v>
      </c>
      <c r="J313" s="10" t="s">
        <v>1693</v>
      </c>
    </row>
    <row r="314" customFormat="false" ht="15" hidden="false" customHeight="false" outlineLevel="0" collapsed="false">
      <c r="A314" s="10" t="s">
        <v>1769</v>
      </c>
      <c r="B314" s="10" t="s">
        <v>1099</v>
      </c>
      <c r="C314" s="10" t="s">
        <v>1770</v>
      </c>
      <c r="D314" s="10" t="s">
        <v>1124</v>
      </c>
      <c r="E314" s="10" t="s">
        <v>244</v>
      </c>
      <c r="F314" s="14" t="n">
        <f aca="false">Guidance_Accuracy!G87</f>
        <v>492</v>
      </c>
      <c r="G314" s="12" t="n">
        <v>492</v>
      </c>
      <c r="H314" s="10" t="n">
        <f aca="false">F314-G314</f>
        <v>0</v>
      </c>
      <c r="I314" s="10" t="str">
        <f aca="false">IF(ABS(H314)&lt;=0.000001,"PASS","FAIL")</f>
        <v>PASS</v>
      </c>
      <c r="J314" s="10" t="s">
        <v>1696</v>
      </c>
    </row>
    <row r="315" customFormat="false" ht="15" hidden="false" customHeight="false" outlineLevel="0" collapsed="false">
      <c r="A315" s="10" t="s">
        <v>1771</v>
      </c>
      <c r="B315" s="10" t="s">
        <v>1100</v>
      </c>
      <c r="C315" s="10" t="s">
        <v>1772</v>
      </c>
      <c r="D315" s="10" t="s">
        <v>1136</v>
      </c>
      <c r="E315" s="10" t="s">
        <v>242</v>
      </c>
      <c r="F315" s="22" t="n">
        <f aca="false">Guidance_Accuracy!I87</f>
        <v>519029</v>
      </c>
      <c r="G315" s="12" t="n">
        <v>519029</v>
      </c>
      <c r="H315" s="10" t="n">
        <f aca="false">F315-G315</f>
        <v>0</v>
      </c>
      <c r="I315" s="10" t="str">
        <f aca="false">IF(ABS(H315)&lt;=0.000001,"PASS","FAIL")</f>
        <v>PASS</v>
      </c>
      <c r="J315" s="10" t="s">
        <v>1752</v>
      </c>
    </row>
    <row r="316" customFormat="false" ht="15" hidden="false" customHeight="false" outlineLevel="0" collapsed="false">
      <c r="A316" s="10" t="s">
        <v>1773</v>
      </c>
      <c r="B316" s="10" t="s">
        <v>1099</v>
      </c>
      <c r="C316" s="10" t="s">
        <v>1774</v>
      </c>
      <c r="D316" s="10" t="s">
        <v>1124</v>
      </c>
      <c r="E316" s="10" t="s">
        <v>245</v>
      </c>
      <c r="F316" s="10" t="str">
        <f aca="false">Guidance_Accuracy!D88</f>
        <v>Q2 2022</v>
      </c>
      <c r="G316" s="12" t="s">
        <v>69</v>
      </c>
      <c r="H316" s="10" t="n">
        <f aca="false">IF(EXACT(F316,G316),0,1)</f>
        <v>0</v>
      </c>
      <c r="I316" s="10" t="str">
        <f aca="false">IF(ABS(H316)&lt;=0.000001,"PASS","FAIL")</f>
        <v>PASS</v>
      </c>
      <c r="J316" s="10" t="s">
        <v>1687</v>
      </c>
    </row>
    <row r="317" customFormat="false" ht="15" hidden="false" customHeight="false" outlineLevel="0" collapsed="false">
      <c r="A317" s="10" t="s">
        <v>1775</v>
      </c>
      <c r="B317" s="10" t="s">
        <v>1099</v>
      </c>
      <c r="C317" s="10" t="s">
        <v>1776</v>
      </c>
      <c r="D317" s="10" t="s">
        <v>1124</v>
      </c>
      <c r="E317" s="10" t="s">
        <v>245</v>
      </c>
      <c r="F317" s="10" t="str">
        <f aca="false">Guidance_Accuracy!E88</f>
        <v>Non-GAAP operating income (loss)</v>
      </c>
      <c r="G317" s="12" t="s">
        <v>151</v>
      </c>
      <c r="H317" s="10" t="n">
        <f aca="false">IF(EXACT(F317,G317),0,1)</f>
        <v>0</v>
      </c>
      <c r="I317" s="10" t="str">
        <f aca="false">IF(ABS(H317)&lt;=0.000001,"PASS","FAIL")</f>
        <v>PASS</v>
      </c>
      <c r="J317" s="10" t="s">
        <v>1690</v>
      </c>
    </row>
    <row r="318" customFormat="false" ht="15" hidden="false" customHeight="false" outlineLevel="0" collapsed="false">
      <c r="A318" s="10" t="s">
        <v>1777</v>
      </c>
      <c r="B318" s="10" t="s">
        <v>1099</v>
      </c>
      <c r="C318" s="10" t="s">
        <v>1778</v>
      </c>
      <c r="D318" s="10" t="s">
        <v>1124</v>
      </c>
      <c r="E318" s="10" t="s">
        <v>245</v>
      </c>
      <c r="F318" s="14" t="n">
        <f aca="false">Guidance_Accuracy!F88</f>
        <v>-112</v>
      </c>
      <c r="G318" s="12" t="n">
        <v>-112</v>
      </c>
      <c r="H318" s="10" t="n">
        <f aca="false">F318-G318</f>
        <v>0</v>
      </c>
      <c r="I318" s="10" t="str">
        <f aca="false">IF(ABS(H318)&lt;=0.000001,"PASS","FAIL")</f>
        <v>PASS</v>
      </c>
      <c r="J318" s="10" t="s">
        <v>1693</v>
      </c>
    </row>
    <row r="319" customFormat="false" ht="15" hidden="false" customHeight="false" outlineLevel="0" collapsed="false">
      <c r="A319" s="10" t="s">
        <v>1779</v>
      </c>
      <c r="B319" s="10" t="s">
        <v>1099</v>
      </c>
      <c r="C319" s="10" t="s">
        <v>1780</v>
      </c>
      <c r="D319" s="10" t="s">
        <v>1124</v>
      </c>
      <c r="E319" s="10" t="s">
        <v>245</v>
      </c>
      <c r="F319" s="14" t="n">
        <f aca="false">Guidance_Accuracy!G88</f>
        <v>-108</v>
      </c>
      <c r="G319" s="12" t="n">
        <v>-108</v>
      </c>
      <c r="H319" s="10" t="n">
        <f aca="false">F319-G319</f>
        <v>0</v>
      </c>
      <c r="I319" s="10" t="str">
        <f aca="false">IF(ABS(H319)&lt;=0.000001,"PASS","FAIL")</f>
        <v>PASS</v>
      </c>
      <c r="J319" s="10" t="s">
        <v>1696</v>
      </c>
    </row>
    <row r="320" customFormat="false" ht="15" hidden="false" customHeight="false" outlineLevel="0" collapsed="false">
      <c r="A320" s="10" t="s">
        <v>1781</v>
      </c>
      <c r="B320" s="10" t="s">
        <v>1100</v>
      </c>
      <c r="C320" s="10" t="s">
        <v>1782</v>
      </c>
      <c r="D320" s="10" t="s">
        <v>1136</v>
      </c>
      <c r="E320" s="10" t="s">
        <v>240</v>
      </c>
      <c r="F320" s="22" t="n">
        <f aca="false">Guidance_Accuracy!I88</f>
        <v>-47095</v>
      </c>
      <c r="G320" s="12" t="n">
        <v>-47095</v>
      </c>
      <c r="H320" s="10" t="n">
        <f aca="false">F320-G320</f>
        <v>0</v>
      </c>
      <c r="I320" s="10" t="str">
        <f aca="false">IF(ABS(H320)&lt;=0.000001,"PASS","FAIL")</f>
        <v>PASS</v>
      </c>
      <c r="J320" s="10" t="s">
        <v>1741</v>
      </c>
    </row>
    <row r="321" customFormat="false" ht="15" hidden="false" customHeight="false" outlineLevel="0" collapsed="false">
      <c r="A321" s="10" t="s">
        <v>1783</v>
      </c>
      <c r="B321" s="10" t="s">
        <v>1099</v>
      </c>
      <c r="C321" s="10" t="s">
        <v>1784</v>
      </c>
      <c r="D321" s="10" t="s">
        <v>1124</v>
      </c>
      <c r="E321" s="10" t="s">
        <v>246</v>
      </c>
      <c r="F321" s="10" t="str">
        <f aca="false">Guidance_Accuracy!D89</f>
        <v>Q2 2022</v>
      </c>
      <c r="G321" s="12" t="s">
        <v>69</v>
      </c>
      <c r="H321" s="10" t="n">
        <f aca="false">IF(EXACT(F321,G321),0,1)</f>
        <v>0</v>
      </c>
      <c r="I321" s="10" t="str">
        <f aca="false">IF(ABS(H321)&lt;=0.000001,"PASS","FAIL")</f>
        <v>PASS</v>
      </c>
      <c r="J321" s="10" t="s">
        <v>1687</v>
      </c>
    </row>
    <row r="322" customFormat="false" ht="15" hidden="false" customHeight="false" outlineLevel="0" collapsed="false">
      <c r="A322" s="10" t="s">
        <v>1785</v>
      </c>
      <c r="B322" s="10" t="s">
        <v>1099</v>
      </c>
      <c r="C322" s="10" t="s">
        <v>1786</v>
      </c>
      <c r="D322" s="10" t="s">
        <v>1124</v>
      </c>
      <c r="E322" s="10" t="s">
        <v>246</v>
      </c>
      <c r="F322" s="10" t="str">
        <f aca="false">Guidance_Accuracy!E89</f>
        <v>Revenue</v>
      </c>
      <c r="G322" s="12" t="s">
        <v>24</v>
      </c>
      <c r="H322" s="10" t="n">
        <f aca="false">IF(EXACT(F322,G322),0,1)</f>
        <v>0</v>
      </c>
      <c r="I322" s="10" t="str">
        <f aca="false">IF(ABS(H322)&lt;=0.000001,"PASS","FAIL")</f>
        <v>PASS</v>
      </c>
      <c r="J322" s="10" t="s">
        <v>1690</v>
      </c>
    </row>
    <row r="323" customFormat="false" ht="15" hidden="false" customHeight="false" outlineLevel="0" collapsed="false">
      <c r="A323" s="10" t="s">
        <v>1787</v>
      </c>
      <c r="B323" s="10" t="s">
        <v>1099</v>
      </c>
      <c r="C323" s="10" t="s">
        <v>1788</v>
      </c>
      <c r="D323" s="10" t="s">
        <v>1124</v>
      </c>
      <c r="E323" s="10" t="s">
        <v>246</v>
      </c>
      <c r="F323" s="14" t="n">
        <f aca="false">Guidance_Accuracy!F89</f>
        <v>498</v>
      </c>
      <c r="G323" s="12" t="n">
        <v>498</v>
      </c>
      <c r="H323" s="10" t="n">
        <f aca="false">F323-G323</f>
        <v>0</v>
      </c>
      <c r="I323" s="10" t="str">
        <f aca="false">IF(ABS(H323)&lt;=0.000001,"PASS","FAIL")</f>
        <v>PASS</v>
      </c>
      <c r="J323" s="10" t="s">
        <v>1693</v>
      </c>
    </row>
    <row r="324" customFormat="false" ht="15" hidden="false" customHeight="false" outlineLevel="0" collapsed="false">
      <c r="A324" s="10" t="s">
        <v>1789</v>
      </c>
      <c r="B324" s="10" t="s">
        <v>1099</v>
      </c>
      <c r="C324" s="10" t="s">
        <v>1790</v>
      </c>
      <c r="D324" s="10" t="s">
        <v>1124</v>
      </c>
      <c r="E324" s="10" t="s">
        <v>246</v>
      </c>
      <c r="F324" s="14" t="n">
        <f aca="false">Guidance_Accuracy!G89</f>
        <v>502</v>
      </c>
      <c r="G324" s="12" t="n">
        <v>502</v>
      </c>
      <c r="H324" s="10" t="n">
        <f aca="false">F324-G324</f>
        <v>0</v>
      </c>
      <c r="I324" s="10" t="str">
        <f aca="false">IF(ABS(H324)&lt;=0.000001,"PASS","FAIL")</f>
        <v>PASS</v>
      </c>
      <c r="J324" s="10" t="s">
        <v>1696</v>
      </c>
    </row>
    <row r="325" customFormat="false" ht="15" hidden="false" customHeight="false" outlineLevel="0" collapsed="false">
      <c r="A325" s="10" t="s">
        <v>1791</v>
      </c>
      <c r="B325" s="10" t="s">
        <v>1100</v>
      </c>
      <c r="C325" s="10" t="s">
        <v>1792</v>
      </c>
      <c r="D325" s="10" t="s">
        <v>1136</v>
      </c>
      <c r="E325" s="10" t="s">
        <v>242</v>
      </c>
      <c r="F325" s="22" t="n">
        <f aca="false">Guidance_Accuracy!I89</f>
        <v>519029</v>
      </c>
      <c r="G325" s="12" t="n">
        <v>519029</v>
      </c>
      <c r="H325" s="10" t="n">
        <f aca="false">F325-G325</f>
        <v>0</v>
      </c>
      <c r="I325" s="10" t="str">
        <f aca="false">IF(ABS(H325)&lt;=0.000001,"PASS","FAIL")</f>
        <v>PASS</v>
      </c>
      <c r="J325" s="10" t="s">
        <v>1752</v>
      </c>
    </row>
    <row r="326" customFormat="false" ht="15" hidden="false" customHeight="false" outlineLevel="0" collapsed="false">
      <c r="A326" s="10" t="s">
        <v>1793</v>
      </c>
      <c r="B326" s="10" t="s">
        <v>1099</v>
      </c>
      <c r="C326" s="10" t="s">
        <v>1794</v>
      </c>
      <c r="D326" s="10" t="s">
        <v>1124</v>
      </c>
      <c r="E326" s="10" t="s">
        <v>247</v>
      </c>
      <c r="F326" s="10" t="str">
        <f aca="false">Guidance_Accuracy!D90</f>
        <v>Q3 2022</v>
      </c>
      <c r="G326" s="12" t="s">
        <v>74</v>
      </c>
      <c r="H326" s="10" t="n">
        <f aca="false">IF(EXACT(F326,G326),0,1)</f>
        <v>0</v>
      </c>
      <c r="I326" s="10" t="str">
        <f aca="false">IF(ABS(H326)&lt;=0.000001,"PASS","FAIL")</f>
        <v>PASS</v>
      </c>
      <c r="J326" s="10" t="s">
        <v>1687</v>
      </c>
    </row>
    <row r="327" customFormat="false" ht="15" hidden="false" customHeight="false" outlineLevel="0" collapsed="false">
      <c r="A327" s="10" t="s">
        <v>1795</v>
      </c>
      <c r="B327" s="10" t="s">
        <v>1099</v>
      </c>
      <c r="C327" s="10" t="s">
        <v>1796</v>
      </c>
      <c r="D327" s="10" t="s">
        <v>1124</v>
      </c>
      <c r="E327" s="10" t="s">
        <v>247</v>
      </c>
      <c r="F327" s="10" t="str">
        <f aca="false">Guidance_Accuracy!E90</f>
        <v>Non-GAAP operating income (loss)</v>
      </c>
      <c r="G327" s="12" t="s">
        <v>151</v>
      </c>
      <c r="H327" s="10" t="n">
        <f aca="false">IF(EXACT(F327,G327),0,1)</f>
        <v>0</v>
      </c>
      <c r="I327" s="10" t="str">
        <f aca="false">IF(ABS(H327)&lt;=0.000001,"PASS","FAIL")</f>
        <v>PASS</v>
      </c>
      <c r="J327" s="10" t="s">
        <v>1690</v>
      </c>
    </row>
    <row r="328" customFormat="false" ht="15" hidden="false" customHeight="false" outlineLevel="0" collapsed="false">
      <c r="A328" s="10" t="s">
        <v>1797</v>
      </c>
      <c r="B328" s="10" t="s">
        <v>1099</v>
      </c>
      <c r="C328" s="10" t="s">
        <v>1798</v>
      </c>
      <c r="D328" s="10" t="s">
        <v>1124</v>
      </c>
      <c r="E328" s="10" t="s">
        <v>247</v>
      </c>
      <c r="F328" s="14" t="n">
        <f aca="false">Guidance_Accuracy!F90</f>
        <v>-83</v>
      </c>
      <c r="G328" s="12" t="n">
        <v>-83</v>
      </c>
      <c r="H328" s="10" t="n">
        <f aca="false">F328-G328</f>
        <v>0</v>
      </c>
      <c r="I328" s="10" t="str">
        <f aca="false">IF(ABS(H328)&lt;=0.000001,"PASS","FAIL")</f>
        <v>PASS</v>
      </c>
      <c r="J328" s="10" t="s">
        <v>1693</v>
      </c>
    </row>
    <row r="329" customFormat="false" ht="15" hidden="false" customHeight="false" outlineLevel="0" collapsed="false">
      <c r="A329" s="10" t="s">
        <v>1799</v>
      </c>
      <c r="B329" s="10" t="s">
        <v>1099</v>
      </c>
      <c r="C329" s="10" t="s">
        <v>1800</v>
      </c>
      <c r="D329" s="10" t="s">
        <v>1124</v>
      </c>
      <c r="E329" s="10" t="s">
        <v>247</v>
      </c>
      <c r="F329" s="14" t="n">
        <f aca="false">Guidance_Accuracy!G90</f>
        <v>-81</v>
      </c>
      <c r="G329" s="12" t="n">
        <v>-81</v>
      </c>
      <c r="H329" s="10" t="n">
        <f aca="false">F329-G329</f>
        <v>0</v>
      </c>
      <c r="I329" s="10" t="str">
        <f aca="false">IF(ABS(H329)&lt;=0.000001,"PASS","FAIL")</f>
        <v>PASS</v>
      </c>
      <c r="J329" s="10" t="s">
        <v>1696</v>
      </c>
    </row>
    <row r="330" customFormat="false" ht="15" hidden="false" customHeight="false" outlineLevel="0" collapsed="false">
      <c r="A330" s="10" t="s">
        <v>1801</v>
      </c>
      <c r="B330" s="10" t="s">
        <v>1100</v>
      </c>
      <c r="C330" s="10" t="s">
        <v>1802</v>
      </c>
      <c r="D330" s="10" t="s">
        <v>1136</v>
      </c>
      <c r="E330" s="10" t="s">
        <v>240</v>
      </c>
      <c r="F330" s="22" t="n">
        <f aca="false">Guidance_Accuracy!I90</f>
        <v>-47095</v>
      </c>
      <c r="G330" s="12" t="n">
        <v>-47095</v>
      </c>
      <c r="H330" s="10" t="n">
        <f aca="false">F330-G330</f>
        <v>0</v>
      </c>
      <c r="I330" s="10" t="str">
        <f aca="false">IF(ABS(H330)&lt;=0.000001,"PASS","FAIL")</f>
        <v>PASS</v>
      </c>
      <c r="J330" s="10" t="s">
        <v>1741</v>
      </c>
    </row>
    <row r="331" customFormat="false" ht="15" hidden="false" customHeight="false" outlineLevel="0" collapsed="false">
      <c r="A331" s="10" t="s">
        <v>1803</v>
      </c>
      <c r="B331" s="10" t="s">
        <v>1099</v>
      </c>
      <c r="C331" s="10" t="s">
        <v>1804</v>
      </c>
      <c r="D331" s="10" t="s">
        <v>1124</v>
      </c>
      <c r="E331" s="10" t="s">
        <v>248</v>
      </c>
      <c r="F331" s="10" t="str">
        <f aca="false">Guidance_Accuracy!D91</f>
        <v>Q3 2022</v>
      </c>
      <c r="G331" s="12" t="s">
        <v>74</v>
      </c>
      <c r="H331" s="10" t="n">
        <f aca="false">IF(EXACT(F331,G331),0,1)</f>
        <v>0</v>
      </c>
      <c r="I331" s="10" t="str">
        <f aca="false">IF(ABS(H331)&lt;=0.000001,"PASS","FAIL")</f>
        <v>PASS</v>
      </c>
      <c r="J331" s="10" t="s">
        <v>1687</v>
      </c>
    </row>
    <row r="332" customFormat="false" ht="15" hidden="false" customHeight="false" outlineLevel="0" collapsed="false">
      <c r="A332" s="10" t="s">
        <v>1805</v>
      </c>
      <c r="B332" s="10" t="s">
        <v>1099</v>
      </c>
      <c r="C332" s="10" t="s">
        <v>1806</v>
      </c>
      <c r="D332" s="10" t="s">
        <v>1124</v>
      </c>
      <c r="E332" s="10" t="s">
        <v>248</v>
      </c>
      <c r="F332" s="10" t="str">
        <f aca="false">Guidance_Accuracy!E91</f>
        <v>Revenue</v>
      </c>
      <c r="G332" s="12" t="s">
        <v>24</v>
      </c>
      <c r="H332" s="10" t="n">
        <f aca="false">IF(EXACT(F332,G332),0,1)</f>
        <v>0</v>
      </c>
      <c r="I332" s="10" t="str">
        <f aca="false">IF(ABS(H332)&lt;=0.000001,"PASS","FAIL")</f>
        <v>PASS</v>
      </c>
      <c r="J332" s="10" t="s">
        <v>1690</v>
      </c>
    </row>
    <row r="333" customFormat="false" ht="15" hidden="false" customHeight="false" outlineLevel="0" collapsed="false">
      <c r="A333" s="10" t="s">
        <v>1807</v>
      </c>
      <c r="B333" s="10" t="s">
        <v>1099</v>
      </c>
      <c r="C333" s="10" t="s">
        <v>1808</v>
      </c>
      <c r="D333" s="10" t="s">
        <v>1124</v>
      </c>
      <c r="E333" s="10" t="s">
        <v>248</v>
      </c>
      <c r="F333" s="14" t="n">
        <f aca="false">Guidance_Accuracy!F91</f>
        <v>509</v>
      </c>
      <c r="G333" s="12" t="n">
        <v>509</v>
      </c>
      <c r="H333" s="10" t="n">
        <f aca="false">F333-G333</f>
        <v>0</v>
      </c>
      <c r="I333" s="10" t="str">
        <f aca="false">IF(ABS(H333)&lt;=0.000001,"PASS","FAIL")</f>
        <v>PASS</v>
      </c>
      <c r="J333" s="10" t="s">
        <v>1693</v>
      </c>
    </row>
    <row r="334" customFormat="false" ht="15" hidden="false" customHeight="false" outlineLevel="0" collapsed="false">
      <c r="A334" s="10" t="s">
        <v>1809</v>
      </c>
      <c r="B334" s="10" t="s">
        <v>1099</v>
      </c>
      <c r="C334" s="10" t="s">
        <v>1810</v>
      </c>
      <c r="D334" s="10" t="s">
        <v>1124</v>
      </c>
      <c r="E334" s="10" t="s">
        <v>248</v>
      </c>
      <c r="F334" s="14" t="n">
        <f aca="false">Guidance_Accuracy!G91</f>
        <v>511</v>
      </c>
      <c r="G334" s="12" t="n">
        <v>511</v>
      </c>
      <c r="H334" s="10" t="n">
        <f aca="false">F334-G334</f>
        <v>0</v>
      </c>
      <c r="I334" s="10" t="str">
        <f aca="false">IF(ABS(H334)&lt;=0.000001,"PASS","FAIL")</f>
        <v>PASS</v>
      </c>
      <c r="J334" s="10" t="s">
        <v>1696</v>
      </c>
    </row>
    <row r="335" customFormat="false" ht="15" hidden="false" customHeight="false" outlineLevel="0" collapsed="false">
      <c r="A335" s="10" t="s">
        <v>1811</v>
      </c>
      <c r="B335" s="10" t="s">
        <v>1100</v>
      </c>
      <c r="C335" s="10" t="s">
        <v>1812</v>
      </c>
      <c r="D335" s="10" t="s">
        <v>1136</v>
      </c>
      <c r="E335" s="10" t="s">
        <v>242</v>
      </c>
      <c r="F335" s="22" t="n">
        <f aca="false">Guidance_Accuracy!I91</f>
        <v>519029</v>
      </c>
      <c r="G335" s="12" t="n">
        <v>519029</v>
      </c>
      <c r="H335" s="10" t="n">
        <f aca="false">F335-G335</f>
        <v>0</v>
      </c>
      <c r="I335" s="10" t="str">
        <f aca="false">IF(ABS(H335)&lt;=0.000001,"PASS","FAIL")</f>
        <v>PASS</v>
      </c>
      <c r="J335" s="10" t="s">
        <v>1752</v>
      </c>
    </row>
    <row r="336" customFormat="false" ht="15" hidden="false" customHeight="false" outlineLevel="0" collapsed="false">
      <c r="A336" s="10" t="s">
        <v>1813</v>
      </c>
      <c r="B336" s="10" t="s">
        <v>1099</v>
      </c>
      <c r="C336" s="10" t="s">
        <v>1814</v>
      </c>
      <c r="D336" s="10" t="s">
        <v>1124</v>
      </c>
      <c r="E336" s="10" t="s">
        <v>250</v>
      </c>
      <c r="F336" s="10" t="str">
        <f aca="false">Guidance_Accuracy!D92</f>
        <v>Q4 2022</v>
      </c>
      <c r="G336" s="12" t="s">
        <v>78</v>
      </c>
      <c r="H336" s="10" t="n">
        <f aca="false">IF(EXACT(F336,G336),0,1)</f>
        <v>0</v>
      </c>
      <c r="I336" s="10" t="str">
        <f aca="false">IF(ABS(H336)&lt;=0.000001,"PASS","FAIL")</f>
        <v>PASS</v>
      </c>
      <c r="J336" s="10" t="s">
        <v>1687</v>
      </c>
    </row>
    <row r="337" customFormat="false" ht="15" hidden="false" customHeight="false" outlineLevel="0" collapsed="false">
      <c r="A337" s="10" t="s">
        <v>1815</v>
      </c>
      <c r="B337" s="10" t="s">
        <v>1099</v>
      </c>
      <c r="C337" s="10" t="s">
        <v>1816</v>
      </c>
      <c r="D337" s="10" t="s">
        <v>1124</v>
      </c>
      <c r="E337" s="10" t="s">
        <v>250</v>
      </c>
      <c r="F337" s="10" t="str">
        <f aca="false">Guidance_Accuracy!E92</f>
        <v>Non-GAAP operating income (loss)</v>
      </c>
      <c r="G337" s="12" t="s">
        <v>151</v>
      </c>
      <c r="H337" s="10" t="n">
        <f aca="false">IF(EXACT(F337,G337),0,1)</f>
        <v>0</v>
      </c>
      <c r="I337" s="10" t="str">
        <f aca="false">IF(ABS(H337)&lt;=0.000001,"PASS","FAIL")</f>
        <v>PASS</v>
      </c>
      <c r="J337" s="10" t="s">
        <v>1690</v>
      </c>
    </row>
    <row r="338" customFormat="false" ht="15" hidden="false" customHeight="false" outlineLevel="0" collapsed="false">
      <c r="A338" s="10" t="s">
        <v>1817</v>
      </c>
      <c r="B338" s="10" t="s">
        <v>1099</v>
      </c>
      <c r="C338" s="10" t="s">
        <v>1818</v>
      </c>
      <c r="D338" s="10" t="s">
        <v>1124</v>
      </c>
      <c r="E338" s="10" t="s">
        <v>250</v>
      </c>
      <c r="F338" s="14" t="n">
        <f aca="false">Guidance_Accuracy!F92</f>
        <v>-36</v>
      </c>
      <c r="G338" s="12" t="n">
        <v>-36</v>
      </c>
      <c r="H338" s="10" t="n">
        <f aca="false">F338-G338</f>
        <v>0</v>
      </c>
      <c r="I338" s="10" t="str">
        <f aca="false">IF(ABS(H338)&lt;=0.000001,"PASS","FAIL")</f>
        <v>PASS</v>
      </c>
      <c r="J338" s="10" t="s">
        <v>1693</v>
      </c>
    </row>
    <row r="339" customFormat="false" ht="15" hidden="false" customHeight="false" outlineLevel="0" collapsed="false">
      <c r="A339" s="10" t="s">
        <v>1819</v>
      </c>
      <c r="B339" s="10" t="s">
        <v>1099</v>
      </c>
      <c r="C339" s="10" t="s">
        <v>1820</v>
      </c>
      <c r="D339" s="10" t="s">
        <v>1124</v>
      </c>
      <c r="E339" s="10" t="s">
        <v>250</v>
      </c>
      <c r="F339" s="14" t="n">
        <f aca="false">Guidance_Accuracy!G92</f>
        <v>-32</v>
      </c>
      <c r="G339" s="12" t="n">
        <v>-32</v>
      </c>
      <c r="H339" s="10" t="n">
        <f aca="false">F339-G339</f>
        <v>0</v>
      </c>
      <c r="I339" s="10" t="str">
        <f aca="false">IF(ABS(H339)&lt;=0.000001,"PASS","FAIL")</f>
        <v>PASS</v>
      </c>
      <c r="J339" s="10" t="s">
        <v>1696</v>
      </c>
    </row>
    <row r="340" customFormat="false" ht="15" hidden="false" customHeight="false" outlineLevel="0" collapsed="false">
      <c r="A340" s="10" t="s">
        <v>1821</v>
      </c>
      <c r="B340" s="10" t="s">
        <v>1100</v>
      </c>
      <c r="C340" s="10" t="s">
        <v>1822</v>
      </c>
      <c r="D340" s="10" t="s">
        <v>1136</v>
      </c>
      <c r="E340" s="10" t="s">
        <v>251</v>
      </c>
      <c r="F340" s="22" t="n">
        <f aca="false">Guidance_Accuracy!I92</f>
        <v>61601</v>
      </c>
      <c r="G340" s="12" t="n">
        <v>61601</v>
      </c>
      <c r="H340" s="10" t="n">
        <f aca="false">F340-G340</f>
        <v>0</v>
      </c>
      <c r="I340" s="10" t="str">
        <f aca="false">IF(ABS(H340)&lt;=0.000001,"PASS","FAIL")</f>
        <v>PASS</v>
      </c>
      <c r="J340" s="10" t="s">
        <v>1823</v>
      </c>
    </row>
    <row r="341" customFormat="false" ht="15" hidden="false" customHeight="false" outlineLevel="0" collapsed="false">
      <c r="A341" s="10" t="s">
        <v>1824</v>
      </c>
      <c r="B341" s="10" t="s">
        <v>1099</v>
      </c>
      <c r="C341" s="10" t="s">
        <v>1825</v>
      </c>
      <c r="D341" s="10" t="s">
        <v>1124</v>
      </c>
      <c r="E341" s="10" t="s">
        <v>252</v>
      </c>
      <c r="F341" s="10" t="str">
        <f aca="false">Guidance_Accuracy!D93</f>
        <v>Q4 2022</v>
      </c>
      <c r="G341" s="12" t="s">
        <v>78</v>
      </c>
      <c r="H341" s="10" t="n">
        <f aca="false">IF(EXACT(F341,G341),0,1)</f>
        <v>0</v>
      </c>
      <c r="I341" s="10" t="str">
        <f aca="false">IF(ABS(H341)&lt;=0.000001,"PASS","FAIL")</f>
        <v>PASS</v>
      </c>
      <c r="J341" s="10" t="s">
        <v>1687</v>
      </c>
    </row>
    <row r="342" customFormat="false" ht="15" hidden="false" customHeight="false" outlineLevel="0" collapsed="false">
      <c r="A342" s="10" t="s">
        <v>1826</v>
      </c>
      <c r="B342" s="10" t="s">
        <v>1099</v>
      </c>
      <c r="C342" s="10" t="s">
        <v>1827</v>
      </c>
      <c r="D342" s="10" t="s">
        <v>1124</v>
      </c>
      <c r="E342" s="10" t="s">
        <v>252</v>
      </c>
      <c r="F342" s="10" t="str">
        <f aca="false">Guidance_Accuracy!E93</f>
        <v>Revenue</v>
      </c>
      <c r="G342" s="12" t="s">
        <v>24</v>
      </c>
      <c r="H342" s="10" t="n">
        <f aca="false">IF(EXACT(F342,G342),0,1)</f>
        <v>0</v>
      </c>
      <c r="I342" s="10" t="str">
        <f aca="false">IF(ABS(H342)&lt;=0.000001,"PASS","FAIL")</f>
        <v>PASS</v>
      </c>
      <c r="J342" s="10" t="s">
        <v>1690</v>
      </c>
    </row>
    <row r="343" customFormat="false" ht="15" hidden="false" customHeight="false" outlineLevel="0" collapsed="false">
      <c r="A343" s="10" t="s">
        <v>1828</v>
      </c>
      <c r="B343" s="10" t="s">
        <v>1099</v>
      </c>
      <c r="C343" s="10" t="s">
        <v>1829</v>
      </c>
      <c r="D343" s="10" t="s">
        <v>1124</v>
      </c>
      <c r="E343" s="10" t="s">
        <v>252</v>
      </c>
      <c r="F343" s="14" t="n">
        <f aca="false">Guidance_Accuracy!F93</f>
        <v>688</v>
      </c>
      <c r="G343" s="12" t="n">
        <v>688</v>
      </c>
      <c r="H343" s="10" t="n">
        <f aca="false">F343-G343</f>
        <v>0</v>
      </c>
      <c r="I343" s="10" t="str">
        <f aca="false">IF(ABS(H343)&lt;=0.000001,"PASS","FAIL")</f>
        <v>PASS</v>
      </c>
      <c r="J343" s="10" t="s">
        <v>1693</v>
      </c>
    </row>
    <row r="344" customFormat="false" ht="15" hidden="false" customHeight="false" outlineLevel="0" collapsed="false">
      <c r="A344" s="10" t="s">
        <v>1830</v>
      </c>
      <c r="B344" s="10" t="s">
        <v>1099</v>
      </c>
      <c r="C344" s="10" t="s">
        <v>1831</v>
      </c>
      <c r="D344" s="10" t="s">
        <v>1124</v>
      </c>
      <c r="E344" s="10" t="s">
        <v>252</v>
      </c>
      <c r="F344" s="14" t="n">
        <f aca="false">Guidance_Accuracy!G93</f>
        <v>693</v>
      </c>
      <c r="G344" s="12" t="n">
        <v>693</v>
      </c>
      <c r="H344" s="10" t="n">
        <f aca="false">F344-G344</f>
        <v>0</v>
      </c>
      <c r="I344" s="10" t="str">
        <f aca="false">IF(ABS(H344)&lt;=0.000001,"PASS","FAIL")</f>
        <v>PASS</v>
      </c>
      <c r="J344" s="10" t="s">
        <v>1696</v>
      </c>
    </row>
    <row r="345" customFormat="false" ht="15" hidden="false" customHeight="false" outlineLevel="0" collapsed="false">
      <c r="A345" s="10" t="s">
        <v>1832</v>
      </c>
      <c r="B345" s="10" t="s">
        <v>1100</v>
      </c>
      <c r="C345" s="10" t="s">
        <v>1833</v>
      </c>
      <c r="D345" s="10" t="s">
        <v>1136</v>
      </c>
      <c r="E345" s="10" t="s">
        <v>253</v>
      </c>
      <c r="F345" s="22" t="n">
        <f aca="false">Guidance_Accuracy!I93</f>
        <v>729695</v>
      </c>
      <c r="G345" s="12" t="n">
        <v>729695</v>
      </c>
      <c r="H345" s="10" t="n">
        <f aca="false">F345-G345</f>
        <v>0</v>
      </c>
      <c r="I345" s="10" t="str">
        <f aca="false">IF(ABS(H345)&lt;=0.000001,"PASS","FAIL")</f>
        <v>PASS</v>
      </c>
      <c r="J345" s="10" t="s">
        <v>1834</v>
      </c>
    </row>
    <row r="346" customFormat="false" ht="15" hidden="false" customHeight="false" outlineLevel="0" collapsed="false">
      <c r="A346" s="10" t="s">
        <v>1835</v>
      </c>
      <c r="B346" s="10" t="s">
        <v>1099</v>
      </c>
      <c r="C346" s="10" t="s">
        <v>1836</v>
      </c>
      <c r="D346" s="10" t="s">
        <v>1124</v>
      </c>
      <c r="E346" s="10" t="s">
        <v>254</v>
      </c>
      <c r="F346" s="10" t="str">
        <f aca="false">Guidance_Accuracy!D94</f>
        <v>Q1 2023</v>
      </c>
      <c r="G346" s="12" t="s">
        <v>83</v>
      </c>
      <c r="H346" s="10" t="n">
        <f aca="false">IF(EXACT(F346,G346),0,1)</f>
        <v>0</v>
      </c>
      <c r="I346" s="10" t="str">
        <f aca="false">IF(ABS(H346)&lt;=0.000001,"PASS","FAIL")</f>
        <v>PASS</v>
      </c>
      <c r="J346" s="10" t="s">
        <v>1687</v>
      </c>
    </row>
    <row r="347" customFormat="false" ht="15" hidden="false" customHeight="false" outlineLevel="0" collapsed="false">
      <c r="A347" s="10" t="s">
        <v>1837</v>
      </c>
      <c r="B347" s="10" t="s">
        <v>1099</v>
      </c>
      <c r="C347" s="10" t="s">
        <v>1838</v>
      </c>
      <c r="D347" s="10" t="s">
        <v>1124</v>
      </c>
      <c r="E347" s="10" t="s">
        <v>254</v>
      </c>
      <c r="F347" s="10" t="str">
        <f aca="false">Guidance_Accuracy!E94</f>
        <v>Non-GAAP operating income (loss)</v>
      </c>
      <c r="G347" s="12" t="s">
        <v>151</v>
      </c>
      <c r="H347" s="10" t="n">
        <f aca="false">IF(EXACT(F347,G347),0,1)</f>
        <v>0</v>
      </c>
      <c r="I347" s="10" t="str">
        <f aca="false">IF(ABS(H347)&lt;=0.000001,"PASS","FAIL")</f>
        <v>PASS</v>
      </c>
      <c r="J347" s="10" t="s">
        <v>1690</v>
      </c>
    </row>
    <row r="348" customFormat="false" ht="15" hidden="false" customHeight="false" outlineLevel="0" collapsed="false">
      <c r="A348" s="10" t="s">
        <v>1839</v>
      </c>
      <c r="B348" s="10" t="s">
        <v>1099</v>
      </c>
      <c r="C348" s="10" t="s">
        <v>1840</v>
      </c>
      <c r="D348" s="10" t="s">
        <v>1124</v>
      </c>
      <c r="E348" s="10" t="s">
        <v>254</v>
      </c>
      <c r="F348" s="14" t="n">
        <f aca="false">Guidance_Accuracy!F94</f>
        <v>8</v>
      </c>
      <c r="G348" s="12" t="n">
        <v>8</v>
      </c>
      <c r="H348" s="10" t="n">
        <f aca="false">F348-G348</f>
        <v>0</v>
      </c>
      <c r="I348" s="10" t="str">
        <f aca="false">IF(ABS(H348)&lt;=0.000001,"PASS","FAIL")</f>
        <v>PASS</v>
      </c>
      <c r="J348" s="10" t="s">
        <v>1693</v>
      </c>
    </row>
    <row r="349" customFormat="false" ht="15" hidden="false" customHeight="false" outlineLevel="0" collapsed="false">
      <c r="A349" s="10" t="s">
        <v>1841</v>
      </c>
      <c r="B349" s="10" t="s">
        <v>1099</v>
      </c>
      <c r="C349" s="10" t="s">
        <v>1842</v>
      </c>
      <c r="D349" s="10" t="s">
        <v>1124</v>
      </c>
      <c r="E349" s="10" t="s">
        <v>254</v>
      </c>
      <c r="F349" s="14" t="n">
        <f aca="false">Guidance_Accuracy!G94</f>
        <v>12</v>
      </c>
      <c r="G349" s="12" t="n">
        <v>12</v>
      </c>
      <c r="H349" s="10" t="n">
        <f aca="false">F349-G349</f>
        <v>0</v>
      </c>
      <c r="I349" s="10" t="str">
        <f aca="false">IF(ABS(H349)&lt;=0.000001,"PASS","FAIL")</f>
        <v>PASS</v>
      </c>
      <c r="J349" s="10" t="s">
        <v>1696</v>
      </c>
    </row>
    <row r="350" customFormat="false" ht="15" hidden="false" customHeight="false" outlineLevel="0" collapsed="false">
      <c r="A350" s="10" t="s">
        <v>1843</v>
      </c>
      <c r="B350" s="10" t="s">
        <v>1100</v>
      </c>
      <c r="C350" s="10" t="s">
        <v>1844</v>
      </c>
      <c r="D350" s="10" t="s">
        <v>1136</v>
      </c>
      <c r="E350" s="10" t="s">
        <v>251</v>
      </c>
      <c r="F350" s="22" t="n">
        <f aca="false">Guidance_Accuracy!I94</f>
        <v>61601</v>
      </c>
      <c r="G350" s="12" t="n">
        <v>61601</v>
      </c>
      <c r="H350" s="10" t="n">
        <f aca="false">F350-G350</f>
        <v>0</v>
      </c>
      <c r="I350" s="10" t="str">
        <f aca="false">IF(ABS(H350)&lt;=0.000001,"PASS","FAIL")</f>
        <v>PASS</v>
      </c>
      <c r="J350" s="10" t="s">
        <v>1823</v>
      </c>
    </row>
    <row r="351" customFormat="false" ht="15" hidden="false" customHeight="false" outlineLevel="0" collapsed="false">
      <c r="A351" s="10" t="s">
        <v>1845</v>
      </c>
      <c r="B351" s="10" t="s">
        <v>1099</v>
      </c>
      <c r="C351" s="10" t="s">
        <v>1846</v>
      </c>
      <c r="D351" s="10" t="s">
        <v>1124</v>
      </c>
      <c r="E351" s="10" t="s">
        <v>255</v>
      </c>
      <c r="F351" s="10" t="str">
        <f aca="false">Guidance_Accuracy!D95</f>
        <v>Q1 2023</v>
      </c>
      <c r="G351" s="12" t="s">
        <v>83</v>
      </c>
      <c r="H351" s="10" t="n">
        <f aca="false">IF(EXACT(F351,G351),0,1)</f>
        <v>0</v>
      </c>
      <c r="I351" s="10" t="str">
        <f aca="false">IF(ABS(H351)&lt;=0.000001,"PASS","FAIL")</f>
        <v>PASS</v>
      </c>
      <c r="J351" s="10" t="s">
        <v>1687</v>
      </c>
    </row>
    <row r="352" customFormat="false" ht="15" hidden="false" customHeight="false" outlineLevel="0" collapsed="false">
      <c r="A352" s="10" t="s">
        <v>1847</v>
      </c>
      <c r="B352" s="10" t="s">
        <v>1099</v>
      </c>
      <c r="C352" s="10" t="s">
        <v>1848</v>
      </c>
      <c r="D352" s="10" t="s">
        <v>1124</v>
      </c>
      <c r="E352" s="10" t="s">
        <v>255</v>
      </c>
      <c r="F352" s="10" t="str">
        <f aca="false">Guidance_Accuracy!E95</f>
        <v>Revenue</v>
      </c>
      <c r="G352" s="12" t="s">
        <v>24</v>
      </c>
      <c r="H352" s="10" t="n">
        <f aca="false">IF(EXACT(F352,G352),0,1)</f>
        <v>0</v>
      </c>
      <c r="I352" s="10" t="str">
        <f aca="false">IF(ABS(H352)&lt;=0.000001,"PASS","FAIL")</f>
        <v>PASS</v>
      </c>
      <c r="J352" s="10" t="s">
        <v>1690</v>
      </c>
    </row>
    <row r="353" customFormat="false" ht="15" hidden="false" customHeight="false" outlineLevel="0" collapsed="false">
      <c r="A353" s="10" t="s">
        <v>1849</v>
      </c>
      <c r="B353" s="10" t="s">
        <v>1099</v>
      </c>
      <c r="C353" s="10" t="s">
        <v>1850</v>
      </c>
      <c r="D353" s="10" t="s">
        <v>1124</v>
      </c>
      <c r="E353" s="10" t="s">
        <v>255</v>
      </c>
      <c r="F353" s="14" t="n">
        <f aca="false">Guidance_Accuracy!F95</f>
        <v>702</v>
      </c>
      <c r="G353" s="12" t="n">
        <v>702</v>
      </c>
      <c r="H353" s="10" t="n">
        <f aca="false">F353-G353</f>
        <v>0</v>
      </c>
      <c r="I353" s="10" t="str">
        <f aca="false">IF(ABS(H353)&lt;=0.000001,"PASS","FAIL")</f>
        <v>PASS</v>
      </c>
      <c r="J353" s="10" t="s">
        <v>1693</v>
      </c>
    </row>
    <row r="354" customFormat="false" ht="15" hidden="false" customHeight="false" outlineLevel="0" collapsed="false">
      <c r="A354" s="10" t="s">
        <v>1851</v>
      </c>
      <c r="B354" s="10" t="s">
        <v>1099</v>
      </c>
      <c r="C354" s="10" t="s">
        <v>1852</v>
      </c>
      <c r="D354" s="10" t="s">
        <v>1124</v>
      </c>
      <c r="E354" s="10" t="s">
        <v>255</v>
      </c>
      <c r="F354" s="14" t="n">
        <f aca="false">Guidance_Accuracy!G95</f>
        <v>706</v>
      </c>
      <c r="G354" s="12" t="n">
        <v>706</v>
      </c>
      <c r="H354" s="10" t="n">
        <f aca="false">F354-G354</f>
        <v>0</v>
      </c>
      <c r="I354" s="10" t="str">
        <f aca="false">IF(ABS(H354)&lt;=0.000001,"PASS","FAIL")</f>
        <v>PASS</v>
      </c>
      <c r="J354" s="10" t="s">
        <v>1696</v>
      </c>
    </row>
    <row r="355" customFormat="false" ht="15" hidden="false" customHeight="false" outlineLevel="0" collapsed="false">
      <c r="A355" s="10" t="s">
        <v>1853</v>
      </c>
      <c r="B355" s="10" t="s">
        <v>1100</v>
      </c>
      <c r="C355" s="10" t="s">
        <v>1854</v>
      </c>
      <c r="D355" s="10" t="s">
        <v>1136</v>
      </c>
      <c r="E355" s="10" t="s">
        <v>253</v>
      </c>
      <c r="F355" s="22" t="n">
        <f aca="false">Guidance_Accuracy!I95</f>
        <v>729695</v>
      </c>
      <c r="G355" s="12" t="n">
        <v>729695</v>
      </c>
      <c r="H355" s="10" t="n">
        <f aca="false">F355-G355</f>
        <v>0</v>
      </c>
      <c r="I355" s="10" t="str">
        <f aca="false">IF(ABS(H355)&lt;=0.000001,"PASS","FAIL")</f>
        <v>PASS</v>
      </c>
      <c r="J355" s="10" t="s">
        <v>1834</v>
      </c>
    </row>
    <row r="356" customFormat="false" ht="15" hidden="false" customHeight="false" outlineLevel="0" collapsed="false">
      <c r="A356" s="10" t="s">
        <v>1855</v>
      </c>
      <c r="B356" s="10" t="s">
        <v>1099</v>
      </c>
      <c r="C356" s="10" t="s">
        <v>1856</v>
      </c>
      <c r="D356" s="10" t="s">
        <v>1124</v>
      </c>
      <c r="E356" s="10" t="s">
        <v>256</v>
      </c>
      <c r="F356" s="10" t="str">
        <f aca="false">Guidance_Accuracy!D96</f>
        <v>Q2 2023</v>
      </c>
      <c r="G356" s="12" t="s">
        <v>88</v>
      </c>
      <c r="H356" s="10" t="n">
        <f aca="false">IF(EXACT(F356,G356),0,1)</f>
        <v>0</v>
      </c>
      <c r="I356" s="10" t="str">
        <f aca="false">IF(ABS(H356)&lt;=0.000001,"PASS","FAIL")</f>
        <v>PASS</v>
      </c>
      <c r="J356" s="10" t="s">
        <v>1687</v>
      </c>
    </row>
    <row r="357" customFormat="false" ht="15" hidden="false" customHeight="false" outlineLevel="0" collapsed="false">
      <c r="A357" s="10" t="s">
        <v>1857</v>
      </c>
      <c r="B357" s="10" t="s">
        <v>1099</v>
      </c>
      <c r="C357" s="10" t="s">
        <v>1858</v>
      </c>
      <c r="D357" s="10" t="s">
        <v>1124</v>
      </c>
      <c r="E357" s="10" t="s">
        <v>256</v>
      </c>
      <c r="F357" s="10" t="str">
        <f aca="false">Guidance_Accuracy!E96</f>
        <v>Non-GAAP operating income (loss)</v>
      </c>
      <c r="G357" s="12" t="s">
        <v>151</v>
      </c>
      <c r="H357" s="10" t="n">
        <f aca="false">IF(EXACT(F357,G357),0,1)</f>
        <v>0</v>
      </c>
      <c r="I357" s="10" t="str">
        <f aca="false">IF(ABS(H357)&lt;=0.000001,"PASS","FAIL")</f>
        <v>PASS</v>
      </c>
      <c r="J357" s="10" t="s">
        <v>1690</v>
      </c>
    </row>
    <row r="358" customFormat="false" ht="15" hidden="false" customHeight="false" outlineLevel="0" collapsed="false">
      <c r="A358" s="10" t="s">
        <v>1859</v>
      </c>
      <c r="B358" s="10" t="s">
        <v>1099</v>
      </c>
      <c r="C358" s="10" t="s">
        <v>1860</v>
      </c>
      <c r="D358" s="10" t="s">
        <v>1124</v>
      </c>
      <c r="E358" s="10" t="s">
        <v>256</v>
      </c>
      <c r="F358" s="14" t="n">
        <f aca="false">Guidance_Accuracy!F96</f>
        <v>24</v>
      </c>
      <c r="G358" s="12" t="n">
        <v>24</v>
      </c>
      <c r="H358" s="10" t="n">
        <f aca="false">F358-G358</f>
        <v>0</v>
      </c>
      <c r="I358" s="10" t="str">
        <f aca="false">IF(ABS(H358)&lt;=0.000001,"PASS","FAIL")</f>
        <v>PASS</v>
      </c>
      <c r="J358" s="10" t="s">
        <v>1693</v>
      </c>
    </row>
    <row r="359" customFormat="false" ht="15" hidden="false" customHeight="false" outlineLevel="0" collapsed="false">
      <c r="A359" s="10" t="s">
        <v>1861</v>
      </c>
      <c r="B359" s="10" t="s">
        <v>1099</v>
      </c>
      <c r="C359" s="10" t="s">
        <v>1862</v>
      </c>
      <c r="D359" s="10" t="s">
        <v>1124</v>
      </c>
      <c r="E359" s="10" t="s">
        <v>256</v>
      </c>
      <c r="F359" s="14" t="n">
        <f aca="false">Guidance_Accuracy!G96</f>
        <v>28</v>
      </c>
      <c r="G359" s="12" t="n">
        <v>28</v>
      </c>
      <c r="H359" s="10" t="n">
        <f aca="false">F359-G359</f>
        <v>0</v>
      </c>
      <c r="I359" s="10" t="str">
        <f aca="false">IF(ABS(H359)&lt;=0.000001,"PASS","FAIL")</f>
        <v>PASS</v>
      </c>
      <c r="J359" s="10" t="s">
        <v>1696</v>
      </c>
    </row>
    <row r="360" customFormat="false" ht="15" hidden="false" customHeight="false" outlineLevel="0" collapsed="false">
      <c r="A360" s="10" t="s">
        <v>1863</v>
      </c>
      <c r="B360" s="10" t="s">
        <v>1100</v>
      </c>
      <c r="C360" s="10" t="s">
        <v>1864</v>
      </c>
      <c r="D360" s="10" t="s">
        <v>1136</v>
      </c>
      <c r="E360" s="10" t="s">
        <v>251</v>
      </c>
      <c r="F360" s="22" t="n">
        <f aca="false">Guidance_Accuracy!I96</f>
        <v>61601</v>
      </c>
      <c r="G360" s="12" t="n">
        <v>61601</v>
      </c>
      <c r="H360" s="10" t="n">
        <f aca="false">F360-G360</f>
        <v>0</v>
      </c>
      <c r="I360" s="10" t="str">
        <f aca="false">IF(ABS(H360)&lt;=0.000001,"PASS","FAIL")</f>
        <v>PASS</v>
      </c>
      <c r="J360" s="10" t="s">
        <v>1823</v>
      </c>
    </row>
    <row r="361" customFormat="false" ht="15" hidden="false" customHeight="false" outlineLevel="0" collapsed="false">
      <c r="A361" s="10" t="s">
        <v>1865</v>
      </c>
      <c r="B361" s="10" t="s">
        <v>1099</v>
      </c>
      <c r="C361" s="10" t="s">
        <v>1866</v>
      </c>
      <c r="D361" s="10" t="s">
        <v>1124</v>
      </c>
      <c r="E361" s="10" t="s">
        <v>257</v>
      </c>
      <c r="F361" s="10" t="str">
        <f aca="false">Guidance_Accuracy!D97</f>
        <v>Q2 2023</v>
      </c>
      <c r="G361" s="12" t="s">
        <v>88</v>
      </c>
      <c r="H361" s="10" t="n">
        <f aca="false">IF(EXACT(F361,G361),0,1)</f>
        <v>0</v>
      </c>
      <c r="I361" s="10" t="str">
        <f aca="false">IF(ABS(H361)&lt;=0.000001,"PASS","FAIL")</f>
        <v>PASS</v>
      </c>
      <c r="J361" s="10" t="s">
        <v>1687</v>
      </c>
    </row>
    <row r="362" customFormat="false" ht="15" hidden="false" customHeight="false" outlineLevel="0" collapsed="false">
      <c r="A362" s="10" t="s">
        <v>1867</v>
      </c>
      <c r="B362" s="10" t="s">
        <v>1099</v>
      </c>
      <c r="C362" s="10" t="s">
        <v>1868</v>
      </c>
      <c r="D362" s="10" t="s">
        <v>1124</v>
      </c>
      <c r="E362" s="10" t="s">
        <v>257</v>
      </c>
      <c r="F362" s="10" t="str">
        <f aca="false">Guidance_Accuracy!E97</f>
        <v>Revenue</v>
      </c>
      <c r="G362" s="12" t="s">
        <v>24</v>
      </c>
      <c r="H362" s="10" t="n">
        <f aca="false">IF(EXACT(F362,G362),0,1)</f>
        <v>0</v>
      </c>
      <c r="I362" s="10" t="str">
        <f aca="false">IF(ABS(H362)&lt;=0.000001,"PASS","FAIL")</f>
        <v>PASS</v>
      </c>
      <c r="J362" s="10" t="s">
        <v>1690</v>
      </c>
    </row>
    <row r="363" customFormat="false" ht="15" hidden="false" customHeight="false" outlineLevel="0" collapsed="false">
      <c r="A363" s="10" t="s">
        <v>1869</v>
      </c>
      <c r="B363" s="10" t="s">
        <v>1099</v>
      </c>
      <c r="C363" s="10" t="s">
        <v>1870</v>
      </c>
      <c r="D363" s="10" t="s">
        <v>1124</v>
      </c>
      <c r="E363" s="10" t="s">
        <v>257</v>
      </c>
      <c r="F363" s="14" t="n">
        <f aca="false">Guidance_Accuracy!F97</f>
        <v>713</v>
      </c>
      <c r="G363" s="12" t="n">
        <v>713</v>
      </c>
      <c r="H363" s="10" t="n">
        <f aca="false">F363-G363</f>
        <v>0</v>
      </c>
      <c r="I363" s="10" t="str">
        <f aca="false">IF(ABS(H363)&lt;=0.000001,"PASS","FAIL")</f>
        <v>PASS</v>
      </c>
      <c r="J363" s="10" t="s">
        <v>1693</v>
      </c>
    </row>
    <row r="364" customFormat="false" ht="15" hidden="false" customHeight="false" outlineLevel="0" collapsed="false">
      <c r="A364" s="10" t="s">
        <v>1871</v>
      </c>
      <c r="B364" s="10" t="s">
        <v>1099</v>
      </c>
      <c r="C364" s="10" t="s">
        <v>1872</v>
      </c>
      <c r="D364" s="10" t="s">
        <v>1124</v>
      </c>
      <c r="E364" s="10" t="s">
        <v>257</v>
      </c>
      <c r="F364" s="14" t="n">
        <f aca="false">Guidance_Accuracy!G97</f>
        <v>717</v>
      </c>
      <c r="G364" s="12" t="n">
        <v>717</v>
      </c>
      <c r="H364" s="10" t="n">
        <f aca="false">F364-G364</f>
        <v>0</v>
      </c>
      <c r="I364" s="10" t="str">
        <f aca="false">IF(ABS(H364)&lt;=0.000001,"PASS","FAIL")</f>
        <v>PASS</v>
      </c>
      <c r="J364" s="10" t="s">
        <v>1696</v>
      </c>
    </row>
    <row r="365" customFormat="false" ht="15" hidden="false" customHeight="false" outlineLevel="0" collapsed="false">
      <c r="A365" s="10" t="s">
        <v>1873</v>
      </c>
      <c r="B365" s="10" t="s">
        <v>1100</v>
      </c>
      <c r="C365" s="10" t="s">
        <v>1874</v>
      </c>
      <c r="D365" s="10" t="s">
        <v>1136</v>
      </c>
      <c r="E365" s="10" t="s">
        <v>253</v>
      </c>
      <c r="F365" s="22" t="n">
        <f aca="false">Guidance_Accuracy!I97</f>
        <v>729695</v>
      </c>
      <c r="G365" s="12" t="n">
        <v>729695</v>
      </c>
      <c r="H365" s="10" t="n">
        <f aca="false">F365-G365</f>
        <v>0</v>
      </c>
      <c r="I365" s="10" t="str">
        <f aca="false">IF(ABS(H365)&lt;=0.000001,"PASS","FAIL")</f>
        <v>PASS</v>
      </c>
      <c r="J365" s="10" t="s">
        <v>1834</v>
      </c>
    </row>
    <row r="366" customFormat="false" ht="15" hidden="false" customHeight="false" outlineLevel="0" collapsed="false">
      <c r="A366" s="10" t="s">
        <v>1875</v>
      </c>
      <c r="B366" s="10" t="s">
        <v>1099</v>
      </c>
      <c r="C366" s="10" t="s">
        <v>1876</v>
      </c>
      <c r="D366" s="10" t="s">
        <v>1124</v>
      </c>
      <c r="E366" s="10" t="s">
        <v>258</v>
      </c>
      <c r="F366" s="10" t="str">
        <f aca="false">Guidance_Accuracy!D98</f>
        <v>Q3 2023</v>
      </c>
      <c r="G366" s="12" t="s">
        <v>93</v>
      </c>
      <c r="H366" s="10" t="n">
        <f aca="false">IF(EXACT(F366,G366),0,1)</f>
        <v>0</v>
      </c>
      <c r="I366" s="10" t="str">
        <f aca="false">IF(ABS(H366)&lt;=0.000001,"PASS","FAIL")</f>
        <v>PASS</v>
      </c>
      <c r="J366" s="10" t="s">
        <v>1687</v>
      </c>
    </row>
    <row r="367" customFormat="false" ht="15" hidden="false" customHeight="false" outlineLevel="0" collapsed="false">
      <c r="A367" s="10" t="s">
        <v>1877</v>
      </c>
      <c r="B367" s="10" t="s">
        <v>1099</v>
      </c>
      <c r="C367" s="10" t="s">
        <v>1878</v>
      </c>
      <c r="D367" s="10" t="s">
        <v>1124</v>
      </c>
      <c r="E367" s="10" t="s">
        <v>258</v>
      </c>
      <c r="F367" s="10" t="str">
        <f aca="false">Guidance_Accuracy!E98</f>
        <v>Non-GAAP operating income (loss)</v>
      </c>
      <c r="G367" s="12" t="s">
        <v>151</v>
      </c>
      <c r="H367" s="10" t="n">
        <f aca="false">IF(EXACT(F367,G367),0,1)</f>
        <v>0</v>
      </c>
      <c r="I367" s="10" t="str">
        <f aca="false">IF(ABS(H367)&lt;=0.000001,"PASS","FAIL")</f>
        <v>PASS</v>
      </c>
      <c r="J367" s="10" t="s">
        <v>1690</v>
      </c>
    </row>
    <row r="368" customFormat="false" ht="15" hidden="false" customHeight="false" outlineLevel="0" collapsed="false">
      <c r="A368" s="10" t="s">
        <v>1879</v>
      </c>
      <c r="B368" s="10" t="s">
        <v>1099</v>
      </c>
      <c r="C368" s="10" t="s">
        <v>1880</v>
      </c>
      <c r="D368" s="10" t="s">
        <v>1124</v>
      </c>
      <c r="E368" s="10" t="s">
        <v>258</v>
      </c>
      <c r="F368" s="14" t="n">
        <f aca="false">Guidance_Accuracy!F98</f>
        <v>47</v>
      </c>
      <c r="G368" s="12" t="n">
        <v>47</v>
      </c>
      <c r="H368" s="10" t="n">
        <f aca="false">F368-G368</f>
        <v>0</v>
      </c>
      <c r="I368" s="10" t="str">
        <f aca="false">IF(ABS(H368)&lt;=0.000001,"PASS","FAIL")</f>
        <v>PASS</v>
      </c>
      <c r="J368" s="10" t="s">
        <v>1693</v>
      </c>
    </row>
    <row r="369" customFormat="false" ht="15" hidden="false" customHeight="false" outlineLevel="0" collapsed="false">
      <c r="A369" s="10" t="s">
        <v>1881</v>
      </c>
      <c r="B369" s="10" t="s">
        <v>1099</v>
      </c>
      <c r="C369" s="10" t="s">
        <v>1882</v>
      </c>
      <c r="D369" s="10" t="s">
        <v>1124</v>
      </c>
      <c r="E369" s="10" t="s">
        <v>258</v>
      </c>
      <c r="F369" s="14" t="n">
        <f aca="false">Guidance_Accuracy!G98</f>
        <v>49</v>
      </c>
      <c r="G369" s="12" t="n">
        <v>49</v>
      </c>
      <c r="H369" s="10" t="n">
        <f aca="false">F369-G369</f>
        <v>0</v>
      </c>
      <c r="I369" s="10" t="str">
        <f aca="false">IF(ABS(H369)&lt;=0.000001,"PASS","FAIL")</f>
        <v>PASS</v>
      </c>
      <c r="J369" s="10" t="s">
        <v>1696</v>
      </c>
    </row>
    <row r="370" customFormat="false" ht="15" hidden="false" customHeight="false" outlineLevel="0" collapsed="false">
      <c r="A370" s="10" t="s">
        <v>1883</v>
      </c>
      <c r="B370" s="10" t="s">
        <v>1100</v>
      </c>
      <c r="C370" s="10" t="s">
        <v>1884</v>
      </c>
      <c r="D370" s="10" t="s">
        <v>1136</v>
      </c>
      <c r="E370" s="10" t="s">
        <v>251</v>
      </c>
      <c r="F370" s="22" t="n">
        <f aca="false">Guidance_Accuracy!I98</f>
        <v>61601</v>
      </c>
      <c r="G370" s="12" t="n">
        <v>61601</v>
      </c>
      <c r="H370" s="10" t="n">
        <f aca="false">F370-G370</f>
        <v>0</v>
      </c>
      <c r="I370" s="10" t="str">
        <f aca="false">IF(ABS(H370)&lt;=0.000001,"PASS","FAIL")</f>
        <v>PASS</v>
      </c>
      <c r="J370" s="10" t="s">
        <v>1823</v>
      </c>
    </row>
    <row r="371" customFormat="false" ht="15" hidden="false" customHeight="false" outlineLevel="0" collapsed="false">
      <c r="A371" s="10" t="s">
        <v>1885</v>
      </c>
      <c r="B371" s="10" t="s">
        <v>1099</v>
      </c>
      <c r="C371" s="10" t="s">
        <v>1886</v>
      </c>
      <c r="D371" s="10" t="s">
        <v>1124</v>
      </c>
      <c r="E371" s="10" t="s">
        <v>259</v>
      </c>
      <c r="F371" s="10" t="str">
        <f aca="false">Guidance_Accuracy!D99</f>
        <v>Q3 2023</v>
      </c>
      <c r="G371" s="12" t="s">
        <v>93</v>
      </c>
      <c r="H371" s="10" t="n">
        <f aca="false">IF(EXACT(F371,G371),0,1)</f>
        <v>0</v>
      </c>
      <c r="I371" s="10" t="str">
        <f aca="false">IF(ABS(H371)&lt;=0.000001,"PASS","FAIL")</f>
        <v>PASS</v>
      </c>
      <c r="J371" s="10" t="s">
        <v>1687</v>
      </c>
    </row>
    <row r="372" customFormat="false" ht="15" hidden="false" customHeight="false" outlineLevel="0" collapsed="false">
      <c r="A372" s="10" t="s">
        <v>1887</v>
      </c>
      <c r="B372" s="10" t="s">
        <v>1099</v>
      </c>
      <c r="C372" s="10" t="s">
        <v>1888</v>
      </c>
      <c r="D372" s="10" t="s">
        <v>1124</v>
      </c>
      <c r="E372" s="10" t="s">
        <v>259</v>
      </c>
      <c r="F372" s="10" t="str">
        <f aca="false">Guidance_Accuracy!E99</f>
        <v>Revenue</v>
      </c>
      <c r="G372" s="12" t="s">
        <v>24</v>
      </c>
      <c r="H372" s="10" t="n">
        <f aca="false">IF(EXACT(F372,G372),0,1)</f>
        <v>0</v>
      </c>
      <c r="I372" s="10" t="str">
        <f aca="false">IF(ABS(H372)&lt;=0.000001,"PASS","FAIL")</f>
        <v>PASS</v>
      </c>
      <c r="J372" s="10" t="s">
        <v>1690</v>
      </c>
    </row>
    <row r="373" customFormat="false" ht="15" hidden="false" customHeight="false" outlineLevel="0" collapsed="false">
      <c r="A373" s="10" t="s">
        <v>1889</v>
      </c>
      <c r="B373" s="10" t="s">
        <v>1099</v>
      </c>
      <c r="C373" s="10" t="s">
        <v>1890</v>
      </c>
      <c r="D373" s="10" t="s">
        <v>1124</v>
      </c>
      <c r="E373" s="10" t="s">
        <v>259</v>
      </c>
      <c r="F373" s="14" t="n">
        <f aca="false">Guidance_Accuracy!F99</f>
        <v>723</v>
      </c>
      <c r="G373" s="12" t="n">
        <v>723</v>
      </c>
      <c r="H373" s="10" t="n">
        <f aca="false">F373-G373</f>
        <v>0</v>
      </c>
      <c r="I373" s="10" t="str">
        <f aca="false">IF(ABS(H373)&lt;=0.000001,"PASS","FAIL")</f>
        <v>PASS</v>
      </c>
      <c r="J373" s="10" t="s">
        <v>1693</v>
      </c>
    </row>
    <row r="374" customFormat="false" ht="15" hidden="false" customHeight="false" outlineLevel="0" collapsed="false">
      <c r="A374" s="10" t="s">
        <v>1891</v>
      </c>
      <c r="B374" s="10" t="s">
        <v>1099</v>
      </c>
      <c r="C374" s="10" t="s">
        <v>1892</v>
      </c>
      <c r="D374" s="10" t="s">
        <v>1124</v>
      </c>
      <c r="E374" s="10" t="s">
        <v>259</v>
      </c>
      <c r="F374" s="14" t="n">
        <f aca="false">Guidance_Accuracy!G99</f>
        <v>725</v>
      </c>
      <c r="G374" s="12" t="n">
        <v>725</v>
      </c>
      <c r="H374" s="10" t="n">
        <f aca="false">F374-G374</f>
        <v>0</v>
      </c>
      <c r="I374" s="10" t="str">
        <f aca="false">IF(ABS(H374)&lt;=0.000001,"PASS","FAIL")</f>
        <v>PASS</v>
      </c>
      <c r="J374" s="10" t="s">
        <v>1696</v>
      </c>
    </row>
    <row r="375" customFormat="false" ht="15" hidden="false" customHeight="false" outlineLevel="0" collapsed="false">
      <c r="A375" s="10" t="s">
        <v>1893</v>
      </c>
      <c r="B375" s="10" t="s">
        <v>1100</v>
      </c>
      <c r="C375" s="10" t="s">
        <v>1894</v>
      </c>
      <c r="D375" s="10" t="s">
        <v>1136</v>
      </c>
      <c r="E375" s="10" t="s">
        <v>253</v>
      </c>
      <c r="F375" s="22" t="n">
        <f aca="false">Guidance_Accuracy!I99</f>
        <v>729695</v>
      </c>
      <c r="G375" s="12" t="n">
        <v>729695</v>
      </c>
      <c r="H375" s="10" t="n">
        <f aca="false">F375-G375</f>
        <v>0</v>
      </c>
      <c r="I375" s="10" t="str">
        <f aca="false">IF(ABS(H375)&lt;=0.000001,"PASS","FAIL")</f>
        <v>PASS</v>
      </c>
      <c r="J375" s="10" t="s">
        <v>1834</v>
      </c>
    </row>
    <row r="376" customFormat="false" ht="15" hidden="false" customHeight="false" outlineLevel="0" collapsed="false">
      <c r="A376" s="10" t="s">
        <v>1895</v>
      </c>
      <c r="B376" s="10" t="s">
        <v>1099</v>
      </c>
      <c r="C376" s="10" t="s">
        <v>1896</v>
      </c>
      <c r="D376" s="10" t="s">
        <v>1124</v>
      </c>
      <c r="E376" s="10" t="s">
        <v>261</v>
      </c>
      <c r="F376" s="10" t="str">
        <f aca="false">Guidance_Accuracy!D100</f>
        <v>Q4 2023</v>
      </c>
      <c r="G376" s="12" t="s">
        <v>98</v>
      </c>
      <c r="H376" s="10" t="n">
        <f aca="false">IF(EXACT(F376,G376),0,1)</f>
        <v>0</v>
      </c>
      <c r="I376" s="10" t="str">
        <f aca="false">IF(ABS(H376)&lt;=0.000001,"PASS","FAIL")</f>
        <v>PASS</v>
      </c>
      <c r="J376" s="10" t="s">
        <v>1687</v>
      </c>
    </row>
    <row r="377" customFormat="false" ht="15" hidden="false" customHeight="false" outlineLevel="0" collapsed="false">
      <c r="A377" s="10" t="s">
        <v>1897</v>
      </c>
      <c r="B377" s="10" t="s">
        <v>1099</v>
      </c>
      <c r="C377" s="10" t="s">
        <v>1898</v>
      </c>
      <c r="D377" s="10" t="s">
        <v>1124</v>
      </c>
      <c r="E377" s="10" t="s">
        <v>261</v>
      </c>
      <c r="F377" s="10" t="str">
        <f aca="false">Guidance_Accuracy!E100</f>
        <v>Free cash flow</v>
      </c>
      <c r="G377" s="12" t="s">
        <v>196</v>
      </c>
      <c r="H377" s="10" t="n">
        <f aca="false">IF(EXACT(F377,G377),0,1)</f>
        <v>0</v>
      </c>
      <c r="I377" s="10" t="str">
        <f aca="false">IF(ABS(H377)&lt;=0.000001,"PASS","FAIL")</f>
        <v>PASS</v>
      </c>
      <c r="J377" s="10" t="s">
        <v>1690</v>
      </c>
    </row>
    <row r="378" customFormat="false" ht="15" hidden="false" customHeight="false" outlineLevel="0" collapsed="false">
      <c r="A378" s="10" t="s">
        <v>1899</v>
      </c>
      <c r="B378" s="10" t="s">
        <v>1099</v>
      </c>
      <c r="C378" s="10" t="s">
        <v>1900</v>
      </c>
      <c r="D378" s="10" t="s">
        <v>1124</v>
      </c>
      <c r="E378" s="10" t="s">
        <v>261</v>
      </c>
      <c r="F378" s="14" t="n">
        <f aca="false">Guidance_Accuracy!F100</f>
        <v>200</v>
      </c>
      <c r="G378" s="12" t="n">
        <v>200</v>
      </c>
      <c r="H378" s="10" t="n">
        <f aca="false">F378-G378</f>
        <v>0</v>
      </c>
      <c r="I378" s="10" t="str">
        <f aca="false">IF(ABS(H378)&lt;=0.000001,"PASS","FAIL")</f>
        <v>PASS</v>
      </c>
      <c r="J378" s="10" t="s">
        <v>1693</v>
      </c>
    </row>
    <row r="379" customFormat="false" ht="15" hidden="false" customHeight="false" outlineLevel="0" collapsed="false">
      <c r="A379" s="10" t="s">
        <v>1901</v>
      </c>
      <c r="B379" s="10" t="s">
        <v>1099</v>
      </c>
      <c r="C379" s="10" t="s">
        <v>1902</v>
      </c>
      <c r="D379" s="10" t="s">
        <v>1124</v>
      </c>
      <c r="E379" s="10" t="s">
        <v>261</v>
      </c>
      <c r="F379" s="14" t="n">
        <f aca="false">Guidance_Accuracy!G100</f>
        <v>206</v>
      </c>
      <c r="G379" s="12" t="n">
        <v>206</v>
      </c>
      <c r="H379" s="10" t="n">
        <f aca="false">F379-G379</f>
        <v>0</v>
      </c>
      <c r="I379" s="10" t="str">
        <f aca="false">IF(ABS(H379)&lt;=0.000001,"PASS","FAIL")</f>
        <v>PASS</v>
      </c>
      <c r="J379" s="10" t="s">
        <v>1696</v>
      </c>
    </row>
    <row r="380" customFormat="false" ht="15" hidden="false" customHeight="false" outlineLevel="0" collapsed="false">
      <c r="A380" s="10" t="s">
        <v>1903</v>
      </c>
      <c r="B380" s="10" t="s">
        <v>1100</v>
      </c>
      <c r="C380" s="10" t="s">
        <v>1904</v>
      </c>
      <c r="D380" s="10" t="s">
        <v>1136</v>
      </c>
      <c r="E380" s="10" t="s">
        <v>262</v>
      </c>
      <c r="F380" s="22" t="n">
        <f aca="false">Guidance_Accuracy!I100</f>
        <v>295830</v>
      </c>
      <c r="G380" s="12" t="n">
        <v>295830</v>
      </c>
      <c r="H380" s="10" t="n">
        <f aca="false">F380-G380</f>
        <v>0</v>
      </c>
      <c r="I380" s="10" t="str">
        <f aca="false">IF(ABS(H380)&lt;=0.000001,"PASS","FAIL")</f>
        <v>PASS</v>
      </c>
      <c r="J380" s="10" t="s">
        <v>1905</v>
      </c>
    </row>
    <row r="381" customFormat="false" ht="15" hidden="false" customHeight="false" outlineLevel="0" collapsed="false">
      <c r="A381" s="10" t="s">
        <v>1906</v>
      </c>
      <c r="B381" s="10" t="s">
        <v>1099</v>
      </c>
      <c r="C381" s="10" t="s">
        <v>1907</v>
      </c>
      <c r="D381" s="10" t="s">
        <v>1124</v>
      </c>
      <c r="E381" s="10" t="s">
        <v>263</v>
      </c>
      <c r="F381" s="10" t="str">
        <f aca="false">Guidance_Accuracy!D101</f>
        <v>Q4 2023</v>
      </c>
      <c r="G381" s="12" t="s">
        <v>98</v>
      </c>
      <c r="H381" s="10" t="n">
        <f aca="false">IF(EXACT(F381,G381),0,1)</f>
        <v>0</v>
      </c>
      <c r="I381" s="10" t="str">
        <f aca="false">IF(ABS(H381)&lt;=0.000001,"PASS","FAIL")</f>
        <v>PASS</v>
      </c>
      <c r="J381" s="10" t="s">
        <v>1687</v>
      </c>
    </row>
    <row r="382" customFormat="false" ht="15" hidden="false" customHeight="false" outlineLevel="0" collapsed="false">
      <c r="A382" s="10" t="s">
        <v>1908</v>
      </c>
      <c r="B382" s="10" t="s">
        <v>1099</v>
      </c>
      <c r="C382" s="10" t="s">
        <v>1909</v>
      </c>
      <c r="D382" s="10" t="s">
        <v>1124</v>
      </c>
      <c r="E382" s="10" t="s">
        <v>263</v>
      </c>
      <c r="F382" s="10" t="str">
        <f aca="false">Guidance_Accuracy!E101</f>
        <v>Non-GAAP operating income (loss)</v>
      </c>
      <c r="G382" s="12" t="s">
        <v>151</v>
      </c>
      <c r="H382" s="10" t="n">
        <f aca="false">IF(EXACT(F382,G382),0,1)</f>
        <v>0</v>
      </c>
      <c r="I382" s="10" t="str">
        <f aca="false">IF(ABS(H382)&lt;=0.000001,"PASS","FAIL")</f>
        <v>PASS</v>
      </c>
      <c r="J382" s="10" t="s">
        <v>1690</v>
      </c>
    </row>
    <row r="383" customFormat="false" ht="15" hidden="false" customHeight="false" outlineLevel="0" collapsed="false">
      <c r="A383" s="10" t="s">
        <v>1910</v>
      </c>
      <c r="B383" s="10" t="s">
        <v>1099</v>
      </c>
      <c r="C383" s="10" t="s">
        <v>1911</v>
      </c>
      <c r="D383" s="10" t="s">
        <v>1124</v>
      </c>
      <c r="E383" s="10" t="s">
        <v>263</v>
      </c>
      <c r="F383" s="14" t="n">
        <f aca="false">Guidance_Accuracy!F101</f>
        <v>58</v>
      </c>
      <c r="G383" s="12" t="n">
        <v>58</v>
      </c>
      <c r="H383" s="10" t="n">
        <f aca="false">F383-G383</f>
        <v>0</v>
      </c>
      <c r="I383" s="10" t="str">
        <f aca="false">IF(ABS(H383)&lt;=0.000001,"PASS","FAIL")</f>
        <v>PASS</v>
      </c>
      <c r="J383" s="10" t="s">
        <v>1693</v>
      </c>
    </row>
    <row r="384" customFormat="false" ht="15" hidden="false" customHeight="false" outlineLevel="0" collapsed="false">
      <c r="A384" s="10" t="s">
        <v>1912</v>
      </c>
      <c r="B384" s="10" t="s">
        <v>1099</v>
      </c>
      <c r="C384" s="10" t="s">
        <v>1913</v>
      </c>
      <c r="D384" s="10" t="s">
        <v>1124</v>
      </c>
      <c r="E384" s="10" t="s">
        <v>263</v>
      </c>
      <c r="F384" s="14" t="n">
        <f aca="false">Guidance_Accuracy!G101</f>
        <v>64</v>
      </c>
      <c r="G384" s="12" t="n">
        <v>64</v>
      </c>
      <c r="H384" s="10" t="n">
        <f aca="false">F384-G384</f>
        <v>0</v>
      </c>
      <c r="I384" s="10" t="str">
        <f aca="false">IF(ABS(H384)&lt;=0.000001,"PASS","FAIL")</f>
        <v>PASS</v>
      </c>
      <c r="J384" s="10" t="s">
        <v>1696</v>
      </c>
    </row>
    <row r="385" customFormat="false" ht="15" hidden="false" customHeight="false" outlineLevel="0" collapsed="false">
      <c r="A385" s="10" t="s">
        <v>1914</v>
      </c>
      <c r="B385" s="10" t="s">
        <v>1100</v>
      </c>
      <c r="C385" s="10" t="s">
        <v>1915</v>
      </c>
      <c r="D385" s="10" t="s">
        <v>1136</v>
      </c>
      <c r="E385" s="10" t="s">
        <v>264</v>
      </c>
      <c r="F385" s="22" t="n">
        <f aca="false">Guidance_Accuracy!I101</f>
        <v>132383</v>
      </c>
      <c r="G385" s="12" t="n">
        <v>132383</v>
      </c>
      <c r="H385" s="10" t="n">
        <f aca="false">F385-G385</f>
        <v>0</v>
      </c>
      <c r="I385" s="10" t="str">
        <f aca="false">IF(ABS(H385)&lt;=0.000001,"PASS","FAIL")</f>
        <v>PASS</v>
      </c>
      <c r="J385" s="10" t="s">
        <v>1916</v>
      </c>
    </row>
    <row r="386" customFormat="false" ht="15" hidden="false" customHeight="false" outlineLevel="0" collapsed="false">
      <c r="A386" s="10" t="s">
        <v>1917</v>
      </c>
      <c r="B386" s="10" t="s">
        <v>1099</v>
      </c>
      <c r="C386" s="10" t="s">
        <v>1918</v>
      </c>
      <c r="D386" s="10" t="s">
        <v>1124</v>
      </c>
      <c r="E386" s="10" t="s">
        <v>265</v>
      </c>
      <c r="F386" s="10" t="str">
        <f aca="false">Guidance_Accuracy!D102</f>
        <v>Q4 2023</v>
      </c>
      <c r="G386" s="12" t="s">
        <v>98</v>
      </c>
      <c r="H386" s="10" t="n">
        <f aca="false">IF(EXACT(F386,G386),0,1)</f>
        <v>0</v>
      </c>
      <c r="I386" s="10" t="str">
        <f aca="false">IF(ABS(H386)&lt;=0.000001,"PASS","FAIL")</f>
        <v>PASS</v>
      </c>
      <c r="J386" s="10" t="s">
        <v>1687</v>
      </c>
    </row>
    <row r="387" customFormat="false" ht="15" hidden="false" customHeight="false" outlineLevel="0" collapsed="false">
      <c r="A387" s="10" t="s">
        <v>1919</v>
      </c>
      <c r="B387" s="10" t="s">
        <v>1099</v>
      </c>
      <c r="C387" s="10" t="s">
        <v>1920</v>
      </c>
      <c r="D387" s="10" t="s">
        <v>1124</v>
      </c>
      <c r="E387" s="10" t="s">
        <v>265</v>
      </c>
      <c r="F387" s="10" t="str">
        <f aca="false">Guidance_Accuracy!E102</f>
        <v>Revenue</v>
      </c>
      <c r="G387" s="12" t="s">
        <v>24</v>
      </c>
      <c r="H387" s="10" t="n">
        <f aca="false">IF(EXACT(F387,G387),0,1)</f>
        <v>0</v>
      </c>
      <c r="I387" s="10" t="str">
        <f aca="false">IF(ABS(H387)&lt;=0.000001,"PASS","FAIL")</f>
        <v>PASS</v>
      </c>
      <c r="J387" s="10" t="s">
        <v>1690</v>
      </c>
    </row>
    <row r="388" customFormat="false" ht="15" hidden="false" customHeight="false" outlineLevel="0" collapsed="false">
      <c r="A388" s="10" t="s">
        <v>1921</v>
      </c>
      <c r="B388" s="10" t="s">
        <v>1099</v>
      </c>
      <c r="C388" s="10" t="s">
        <v>1922</v>
      </c>
      <c r="D388" s="10" t="s">
        <v>1124</v>
      </c>
      <c r="E388" s="10" t="s">
        <v>265</v>
      </c>
      <c r="F388" s="14" t="n">
        <f aca="false">Guidance_Accuracy!F102</f>
        <v>926</v>
      </c>
      <c r="G388" s="12" t="n">
        <v>926</v>
      </c>
      <c r="H388" s="10" t="n">
        <f aca="false">F388-G388</f>
        <v>0</v>
      </c>
      <c r="I388" s="10" t="str">
        <f aca="false">IF(ABS(H388)&lt;=0.000001,"PASS","FAIL")</f>
        <v>PASS</v>
      </c>
      <c r="J388" s="10" t="s">
        <v>1693</v>
      </c>
    </row>
    <row r="389" customFormat="false" ht="15" hidden="false" customHeight="false" outlineLevel="0" collapsed="false">
      <c r="A389" s="10" t="s">
        <v>1923</v>
      </c>
      <c r="B389" s="10" t="s">
        <v>1099</v>
      </c>
      <c r="C389" s="10" t="s">
        <v>1924</v>
      </c>
      <c r="D389" s="10" t="s">
        <v>1124</v>
      </c>
      <c r="E389" s="10" t="s">
        <v>265</v>
      </c>
      <c r="F389" s="14" t="n">
        <f aca="false">Guidance_Accuracy!G102</f>
        <v>932</v>
      </c>
      <c r="G389" s="12" t="n">
        <v>932</v>
      </c>
      <c r="H389" s="10" t="n">
        <f aca="false">F389-G389</f>
        <v>0</v>
      </c>
      <c r="I389" s="10" t="str">
        <f aca="false">IF(ABS(H389)&lt;=0.000001,"PASS","FAIL")</f>
        <v>PASS</v>
      </c>
      <c r="J389" s="10" t="s">
        <v>1696</v>
      </c>
    </row>
    <row r="390" customFormat="false" ht="15" hidden="false" customHeight="false" outlineLevel="0" collapsed="false">
      <c r="A390" s="10" t="s">
        <v>1925</v>
      </c>
      <c r="B390" s="10" t="s">
        <v>1100</v>
      </c>
      <c r="C390" s="10" t="s">
        <v>1926</v>
      </c>
      <c r="D390" s="10" t="s">
        <v>1136</v>
      </c>
      <c r="E390" s="10" t="s">
        <v>266</v>
      </c>
      <c r="F390" s="22" t="n">
        <f aca="false">Guidance_Accuracy!I102</f>
        <v>971995</v>
      </c>
      <c r="G390" s="12" t="n">
        <v>971995</v>
      </c>
      <c r="H390" s="10" t="n">
        <f aca="false">F390-G390</f>
        <v>0</v>
      </c>
      <c r="I390" s="10" t="str">
        <f aca="false">IF(ABS(H390)&lt;=0.000001,"PASS","FAIL")</f>
        <v>PASS</v>
      </c>
      <c r="J390" s="10" t="s">
        <v>1927</v>
      </c>
    </row>
    <row r="391" customFormat="false" ht="15" hidden="false" customHeight="false" outlineLevel="0" collapsed="false">
      <c r="A391" s="10" t="s">
        <v>1928</v>
      </c>
      <c r="B391" s="10" t="s">
        <v>1099</v>
      </c>
      <c r="C391" s="10" t="s">
        <v>1929</v>
      </c>
      <c r="D391" s="10" t="s">
        <v>1124</v>
      </c>
      <c r="E391" s="10" t="s">
        <v>267</v>
      </c>
      <c r="F391" s="10" t="str">
        <f aca="false">Guidance_Accuracy!D103</f>
        <v>Q1 2024</v>
      </c>
      <c r="G391" s="12" t="s">
        <v>103</v>
      </c>
      <c r="H391" s="10" t="n">
        <f aca="false">IF(EXACT(F391,G391),0,1)</f>
        <v>0</v>
      </c>
      <c r="I391" s="10" t="str">
        <f aca="false">IF(ABS(H391)&lt;=0.000001,"PASS","FAIL")</f>
        <v>PASS</v>
      </c>
      <c r="J391" s="10" t="s">
        <v>1687</v>
      </c>
    </row>
    <row r="392" customFormat="false" ht="15" hidden="false" customHeight="false" outlineLevel="0" collapsed="false">
      <c r="A392" s="10" t="s">
        <v>1930</v>
      </c>
      <c r="B392" s="10" t="s">
        <v>1099</v>
      </c>
      <c r="C392" s="10" t="s">
        <v>1931</v>
      </c>
      <c r="D392" s="10" t="s">
        <v>1124</v>
      </c>
      <c r="E392" s="10" t="s">
        <v>267</v>
      </c>
      <c r="F392" s="10" t="str">
        <f aca="false">Guidance_Accuracy!E103</f>
        <v>Free cash flow</v>
      </c>
      <c r="G392" s="12" t="s">
        <v>196</v>
      </c>
      <c r="H392" s="10" t="n">
        <f aca="false">IF(EXACT(F392,G392),0,1)</f>
        <v>0</v>
      </c>
      <c r="I392" s="10" t="str">
        <f aca="false">IF(ABS(H392)&lt;=0.000001,"PASS","FAIL")</f>
        <v>PASS</v>
      </c>
      <c r="J392" s="10" t="s">
        <v>1690</v>
      </c>
    </row>
    <row r="393" customFormat="false" ht="15" hidden="false" customHeight="false" outlineLevel="0" collapsed="false">
      <c r="A393" s="10" t="s">
        <v>1932</v>
      </c>
      <c r="B393" s="10" t="s">
        <v>1099</v>
      </c>
      <c r="C393" s="10" t="s">
        <v>1933</v>
      </c>
      <c r="D393" s="10" t="s">
        <v>1124</v>
      </c>
      <c r="E393" s="10" t="s">
        <v>267</v>
      </c>
      <c r="F393" s="14" t="n">
        <f aca="false">Guidance_Accuracy!F103</f>
        <v>238</v>
      </c>
      <c r="G393" s="12" t="n">
        <v>238</v>
      </c>
      <c r="H393" s="10" t="n">
        <f aca="false">F393-G393</f>
        <v>0</v>
      </c>
      <c r="I393" s="10" t="str">
        <f aca="false">IF(ABS(H393)&lt;=0.000001,"PASS","FAIL")</f>
        <v>PASS</v>
      </c>
      <c r="J393" s="10" t="s">
        <v>1693</v>
      </c>
    </row>
    <row r="394" customFormat="false" ht="15" hidden="false" customHeight="false" outlineLevel="0" collapsed="false">
      <c r="A394" s="10" t="s">
        <v>1934</v>
      </c>
      <c r="B394" s="10" t="s">
        <v>1099</v>
      </c>
      <c r="C394" s="10" t="s">
        <v>1935</v>
      </c>
      <c r="D394" s="10" t="s">
        <v>1124</v>
      </c>
      <c r="E394" s="10" t="s">
        <v>267</v>
      </c>
      <c r="F394" s="14" t="n">
        <f aca="false">Guidance_Accuracy!G103</f>
        <v>244</v>
      </c>
      <c r="G394" s="12" t="n">
        <v>244</v>
      </c>
      <c r="H394" s="10" t="n">
        <f aca="false">F394-G394</f>
        <v>0</v>
      </c>
      <c r="I394" s="10" t="str">
        <f aca="false">IF(ABS(H394)&lt;=0.000001,"PASS","FAIL")</f>
        <v>PASS</v>
      </c>
      <c r="J394" s="10" t="s">
        <v>1696</v>
      </c>
    </row>
    <row r="395" customFormat="false" ht="15" hidden="false" customHeight="false" outlineLevel="0" collapsed="false">
      <c r="A395" s="10" t="s">
        <v>1936</v>
      </c>
      <c r="B395" s="10" t="s">
        <v>1100</v>
      </c>
      <c r="C395" s="10" t="s">
        <v>1937</v>
      </c>
      <c r="D395" s="10" t="s">
        <v>1136</v>
      </c>
      <c r="E395" s="10" t="s">
        <v>262</v>
      </c>
      <c r="F395" s="22" t="n">
        <f aca="false">Guidance_Accuracy!I103</f>
        <v>295830</v>
      </c>
      <c r="G395" s="12" t="n">
        <v>295830</v>
      </c>
      <c r="H395" s="10" t="n">
        <f aca="false">F395-G395</f>
        <v>0</v>
      </c>
      <c r="I395" s="10" t="str">
        <f aca="false">IF(ABS(H395)&lt;=0.000001,"PASS","FAIL")</f>
        <v>PASS</v>
      </c>
      <c r="J395" s="10" t="s">
        <v>1905</v>
      </c>
    </row>
    <row r="396" customFormat="false" ht="15" hidden="false" customHeight="false" outlineLevel="0" collapsed="false">
      <c r="A396" s="10" t="s">
        <v>1938</v>
      </c>
      <c r="B396" s="10" t="s">
        <v>1099</v>
      </c>
      <c r="C396" s="10" t="s">
        <v>1939</v>
      </c>
      <c r="D396" s="10" t="s">
        <v>1124</v>
      </c>
      <c r="E396" s="10" t="s">
        <v>268</v>
      </c>
      <c r="F396" s="10" t="str">
        <f aca="false">Guidance_Accuracy!D104</f>
        <v>Q1 2024</v>
      </c>
      <c r="G396" s="12" t="s">
        <v>103</v>
      </c>
      <c r="H396" s="10" t="n">
        <f aca="false">IF(EXACT(F396,G396),0,1)</f>
        <v>0</v>
      </c>
      <c r="I396" s="10" t="str">
        <f aca="false">IF(ABS(H396)&lt;=0.000001,"PASS","FAIL")</f>
        <v>PASS</v>
      </c>
      <c r="J396" s="10" t="s">
        <v>1687</v>
      </c>
    </row>
    <row r="397" customFormat="false" ht="15" hidden="false" customHeight="false" outlineLevel="0" collapsed="false">
      <c r="A397" s="10" t="s">
        <v>1940</v>
      </c>
      <c r="B397" s="10" t="s">
        <v>1099</v>
      </c>
      <c r="C397" s="10" t="s">
        <v>1941</v>
      </c>
      <c r="D397" s="10" t="s">
        <v>1124</v>
      </c>
      <c r="E397" s="10" t="s">
        <v>268</v>
      </c>
      <c r="F397" s="10" t="str">
        <f aca="false">Guidance_Accuracy!E104</f>
        <v>Non-GAAP operating income (loss)</v>
      </c>
      <c r="G397" s="12" t="s">
        <v>151</v>
      </c>
      <c r="H397" s="10" t="n">
        <f aca="false">IF(EXACT(F397,G397),0,1)</f>
        <v>0</v>
      </c>
      <c r="I397" s="10" t="str">
        <f aca="false">IF(ABS(H397)&lt;=0.000001,"PASS","FAIL")</f>
        <v>PASS</v>
      </c>
      <c r="J397" s="10" t="s">
        <v>1690</v>
      </c>
    </row>
    <row r="398" customFormat="false" ht="15" hidden="false" customHeight="false" outlineLevel="0" collapsed="false">
      <c r="A398" s="10" t="s">
        <v>1942</v>
      </c>
      <c r="B398" s="10" t="s">
        <v>1099</v>
      </c>
      <c r="C398" s="10" t="s">
        <v>1943</v>
      </c>
      <c r="D398" s="10" t="s">
        <v>1124</v>
      </c>
      <c r="E398" s="10" t="s">
        <v>268</v>
      </c>
      <c r="F398" s="14" t="n">
        <f aca="false">Guidance_Accuracy!F104</f>
        <v>77</v>
      </c>
      <c r="G398" s="12" t="n">
        <v>77</v>
      </c>
      <c r="H398" s="10" t="n">
        <f aca="false">F398-G398</f>
        <v>0</v>
      </c>
      <c r="I398" s="10" t="str">
        <f aca="false">IF(ABS(H398)&lt;=0.000001,"PASS","FAIL")</f>
        <v>PASS</v>
      </c>
      <c r="J398" s="10" t="s">
        <v>1693</v>
      </c>
    </row>
    <row r="399" customFormat="false" ht="15" hidden="false" customHeight="false" outlineLevel="0" collapsed="false">
      <c r="A399" s="10" t="s">
        <v>1944</v>
      </c>
      <c r="B399" s="10" t="s">
        <v>1099</v>
      </c>
      <c r="C399" s="10" t="s">
        <v>1945</v>
      </c>
      <c r="D399" s="10" t="s">
        <v>1124</v>
      </c>
      <c r="E399" s="10" t="s">
        <v>268</v>
      </c>
      <c r="F399" s="14" t="n">
        <f aca="false">Guidance_Accuracy!G104</f>
        <v>83</v>
      </c>
      <c r="G399" s="12" t="n">
        <v>83</v>
      </c>
      <c r="H399" s="10" t="n">
        <f aca="false">F399-G399</f>
        <v>0</v>
      </c>
      <c r="I399" s="10" t="str">
        <f aca="false">IF(ABS(H399)&lt;=0.000001,"PASS","FAIL")</f>
        <v>PASS</v>
      </c>
      <c r="J399" s="10" t="s">
        <v>1696</v>
      </c>
    </row>
    <row r="400" customFormat="false" ht="15" hidden="false" customHeight="false" outlineLevel="0" collapsed="false">
      <c r="A400" s="10" t="s">
        <v>1946</v>
      </c>
      <c r="B400" s="10" t="s">
        <v>1100</v>
      </c>
      <c r="C400" s="10" t="s">
        <v>1947</v>
      </c>
      <c r="D400" s="10" t="s">
        <v>1136</v>
      </c>
      <c r="E400" s="10" t="s">
        <v>264</v>
      </c>
      <c r="F400" s="22" t="n">
        <f aca="false">Guidance_Accuracy!I104</f>
        <v>132383</v>
      </c>
      <c r="G400" s="12" t="n">
        <v>132383</v>
      </c>
      <c r="H400" s="10" t="n">
        <f aca="false">F400-G400</f>
        <v>0</v>
      </c>
      <c r="I400" s="10" t="str">
        <f aca="false">IF(ABS(H400)&lt;=0.000001,"PASS","FAIL")</f>
        <v>PASS</v>
      </c>
      <c r="J400" s="10" t="s">
        <v>1916</v>
      </c>
    </row>
    <row r="401" customFormat="false" ht="15" hidden="false" customHeight="false" outlineLevel="0" collapsed="false">
      <c r="A401" s="10" t="s">
        <v>1948</v>
      </c>
      <c r="B401" s="10" t="s">
        <v>1099</v>
      </c>
      <c r="C401" s="10" t="s">
        <v>1949</v>
      </c>
      <c r="D401" s="10" t="s">
        <v>1124</v>
      </c>
      <c r="E401" s="10" t="s">
        <v>269</v>
      </c>
      <c r="F401" s="10" t="str">
        <f aca="false">Guidance_Accuracy!D105</f>
        <v>Q1 2024</v>
      </c>
      <c r="G401" s="12" t="s">
        <v>103</v>
      </c>
      <c r="H401" s="10" t="n">
        <f aca="false">IF(EXACT(F401,G401),0,1)</f>
        <v>0</v>
      </c>
      <c r="I401" s="10" t="str">
        <f aca="false">IF(ABS(H401)&lt;=0.000001,"PASS","FAIL")</f>
        <v>PASS</v>
      </c>
      <c r="J401" s="10" t="s">
        <v>1687</v>
      </c>
    </row>
    <row r="402" customFormat="false" ht="15" hidden="false" customHeight="false" outlineLevel="0" collapsed="false">
      <c r="A402" s="10" t="s">
        <v>1950</v>
      </c>
      <c r="B402" s="10" t="s">
        <v>1099</v>
      </c>
      <c r="C402" s="10" t="s">
        <v>1951</v>
      </c>
      <c r="D402" s="10" t="s">
        <v>1124</v>
      </c>
      <c r="E402" s="10" t="s">
        <v>269</v>
      </c>
      <c r="F402" s="10" t="str">
        <f aca="false">Guidance_Accuracy!E105</f>
        <v>Revenue</v>
      </c>
      <c r="G402" s="12" t="s">
        <v>24</v>
      </c>
      <c r="H402" s="10" t="n">
        <f aca="false">IF(EXACT(F402,G402),0,1)</f>
        <v>0</v>
      </c>
      <c r="I402" s="10" t="str">
        <f aca="false">IF(ABS(H402)&lt;=0.000001,"PASS","FAIL")</f>
        <v>PASS</v>
      </c>
      <c r="J402" s="10" t="s">
        <v>1690</v>
      </c>
    </row>
    <row r="403" customFormat="false" ht="15" hidden="false" customHeight="false" outlineLevel="0" collapsed="false">
      <c r="A403" s="10" t="s">
        <v>1952</v>
      </c>
      <c r="B403" s="10" t="s">
        <v>1099</v>
      </c>
      <c r="C403" s="10" t="s">
        <v>1953</v>
      </c>
      <c r="D403" s="10" t="s">
        <v>1124</v>
      </c>
      <c r="E403" s="10" t="s">
        <v>269</v>
      </c>
      <c r="F403" s="14" t="n">
        <f aca="false">Guidance_Accuracy!F105</f>
        <v>942</v>
      </c>
      <c r="G403" s="12" t="n">
        <v>942</v>
      </c>
      <c r="H403" s="10" t="n">
        <f aca="false">F403-G403</f>
        <v>0</v>
      </c>
      <c r="I403" s="10" t="str">
        <f aca="false">IF(ABS(H403)&lt;=0.000001,"PASS","FAIL")</f>
        <v>PASS</v>
      </c>
      <c r="J403" s="10" t="s">
        <v>1693</v>
      </c>
    </row>
    <row r="404" customFormat="false" ht="15" hidden="false" customHeight="false" outlineLevel="0" collapsed="false">
      <c r="A404" s="10" t="s">
        <v>1954</v>
      </c>
      <c r="B404" s="10" t="s">
        <v>1099</v>
      </c>
      <c r="C404" s="10" t="s">
        <v>1955</v>
      </c>
      <c r="D404" s="10" t="s">
        <v>1124</v>
      </c>
      <c r="E404" s="10" t="s">
        <v>269</v>
      </c>
      <c r="F404" s="14" t="n">
        <f aca="false">Guidance_Accuracy!G105</f>
        <v>948</v>
      </c>
      <c r="G404" s="12" t="n">
        <v>948</v>
      </c>
      <c r="H404" s="10" t="n">
        <f aca="false">F404-G404</f>
        <v>0</v>
      </c>
      <c r="I404" s="10" t="str">
        <f aca="false">IF(ABS(H404)&lt;=0.000001,"PASS","FAIL")</f>
        <v>PASS</v>
      </c>
      <c r="J404" s="10" t="s">
        <v>1696</v>
      </c>
    </row>
    <row r="405" customFormat="false" ht="15" hidden="false" customHeight="false" outlineLevel="0" collapsed="false">
      <c r="A405" s="10" t="s">
        <v>1956</v>
      </c>
      <c r="B405" s="10" t="s">
        <v>1100</v>
      </c>
      <c r="C405" s="10" t="s">
        <v>1957</v>
      </c>
      <c r="D405" s="10" t="s">
        <v>1136</v>
      </c>
      <c r="E405" s="10" t="s">
        <v>266</v>
      </c>
      <c r="F405" s="22" t="n">
        <f aca="false">Guidance_Accuracy!I105</f>
        <v>971995</v>
      </c>
      <c r="G405" s="12" t="n">
        <v>971995</v>
      </c>
      <c r="H405" s="10" t="n">
        <f aca="false">F405-G405</f>
        <v>0</v>
      </c>
      <c r="I405" s="10" t="str">
        <f aca="false">IF(ABS(H405)&lt;=0.000001,"PASS","FAIL")</f>
        <v>PASS</v>
      </c>
      <c r="J405" s="10" t="s">
        <v>1927</v>
      </c>
    </row>
    <row r="406" customFormat="false" ht="15" hidden="false" customHeight="false" outlineLevel="0" collapsed="false">
      <c r="A406" s="10" t="s">
        <v>1958</v>
      </c>
      <c r="B406" s="10" t="s">
        <v>1099</v>
      </c>
      <c r="C406" s="10" t="s">
        <v>1959</v>
      </c>
      <c r="D406" s="10" t="s">
        <v>1124</v>
      </c>
      <c r="E406" s="10" t="s">
        <v>270</v>
      </c>
      <c r="F406" s="10" t="str">
        <f aca="false">Guidance_Accuracy!D106</f>
        <v>Q2 2024</v>
      </c>
      <c r="G406" s="12" t="s">
        <v>108</v>
      </c>
      <c r="H406" s="10" t="n">
        <f aca="false">IF(EXACT(F406,G406),0,1)</f>
        <v>0</v>
      </c>
      <c r="I406" s="10" t="str">
        <f aca="false">IF(ABS(H406)&lt;=0.000001,"PASS","FAIL")</f>
        <v>PASS</v>
      </c>
      <c r="J406" s="10" t="s">
        <v>1687</v>
      </c>
    </row>
    <row r="407" customFormat="false" ht="15" hidden="false" customHeight="false" outlineLevel="0" collapsed="false">
      <c r="A407" s="10" t="s">
        <v>1960</v>
      </c>
      <c r="B407" s="10" t="s">
        <v>1099</v>
      </c>
      <c r="C407" s="10" t="s">
        <v>1961</v>
      </c>
      <c r="D407" s="10" t="s">
        <v>1124</v>
      </c>
      <c r="E407" s="10" t="s">
        <v>270</v>
      </c>
      <c r="F407" s="10" t="str">
        <f aca="false">Guidance_Accuracy!E106</f>
        <v>Free cash flow</v>
      </c>
      <c r="G407" s="12" t="s">
        <v>196</v>
      </c>
      <c r="H407" s="10" t="n">
        <f aca="false">IF(EXACT(F407,G407),0,1)</f>
        <v>0</v>
      </c>
      <c r="I407" s="10" t="str">
        <f aca="false">IF(ABS(H407)&lt;=0.000001,"PASS","FAIL")</f>
        <v>PASS</v>
      </c>
      <c r="J407" s="10" t="s">
        <v>1690</v>
      </c>
    </row>
    <row r="408" customFormat="false" ht="15" hidden="false" customHeight="false" outlineLevel="0" collapsed="false">
      <c r="A408" s="10" t="s">
        <v>1962</v>
      </c>
      <c r="B408" s="10" t="s">
        <v>1099</v>
      </c>
      <c r="C408" s="10" t="s">
        <v>1963</v>
      </c>
      <c r="D408" s="10" t="s">
        <v>1124</v>
      </c>
      <c r="E408" s="10" t="s">
        <v>270</v>
      </c>
      <c r="F408" s="14" t="n">
        <f aca="false">Guidance_Accuracy!F106</f>
        <v>270</v>
      </c>
      <c r="G408" s="12" t="n">
        <v>270</v>
      </c>
      <c r="H408" s="10" t="n">
        <f aca="false">F408-G408</f>
        <v>0</v>
      </c>
      <c r="I408" s="10" t="str">
        <f aca="false">IF(ABS(H408)&lt;=0.000001,"PASS","FAIL")</f>
        <v>PASS</v>
      </c>
      <c r="J408" s="10" t="s">
        <v>1693</v>
      </c>
    </row>
    <row r="409" customFormat="false" ht="15" hidden="false" customHeight="false" outlineLevel="0" collapsed="false">
      <c r="A409" s="10" t="s">
        <v>1964</v>
      </c>
      <c r="B409" s="10" t="s">
        <v>1099</v>
      </c>
      <c r="C409" s="10" t="s">
        <v>1965</v>
      </c>
      <c r="D409" s="10" t="s">
        <v>1124</v>
      </c>
      <c r="E409" s="10" t="s">
        <v>270</v>
      </c>
      <c r="F409" s="14" t="n">
        <f aca="false">Guidance_Accuracy!G106</f>
        <v>275</v>
      </c>
      <c r="G409" s="12" t="n">
        <v>275</v>
      </c>
      <c r="H409" s="10" t="n">
        <f aca="false">F409-G409</f>
        <v>0</v>
      </c>
      <c r="I409" s="10" t="str">
        <f aca="false">IF(ABS(H409)&lt;=0.000001,"PASS","FAIL")</f>
        <v>PASS</v>
      </c>
      <c r="J409" s="10" t="s">
        <v>1696</v>
      </c>
    </row>
    <row r="410" customFormat="false" ht="15" hidden="false" customHeight="false" outlineLevel="0" collapsed="false">
      <c r="A410" s="10" t="s">
        <v>1966</v>
      </c>
      <c r="B410" s="10" t="s">
        <v>1100</v>
      </c>
      <c r="C410" s="10" t="s">
        <v>1967</v>
      </c>
      <c r="D410" s="10" t="s">
        <v>1136</v>
      </c>
      <c r="E410" s="10" t="s">
        <v>262</v>
      </c>
      <c r="F410" s="22" t="n">
        <f aca="false">Guidance_Accuracy!I106</f>
        <v>295830</v>
      </c>
      <c r="G410" s="12" t="n">
        <v>295830</v>
      </c>
      <c r="H410" s="10" t="n">
        <f aca="false">F410-G410</f>
        <v>0</v>
      </c>
      <c r="I410" s="10" t="str">
        <f aca="false">IF(ABS(H410)&lt;=0.000001,"PASS","FAIL")</f>
        <v>PASS</v>
      </c>
      <c r="J410" s="10" t="s">
        <v>1905</v>
      </c>
    </row>
    <row r="411" customFormat="false" ht="15" hidden="false" customHeight="false" outlineLevel="0" collapsed="false">
      <c r="A411" s="10" t="s">
        <v>1968</v>
      </c>
      <c r="B411" s="10" t="s">
        <v>1099</v>
      </c>
      <c r="C411" s="10" t="s">
        <v>1969</v>
      </c>
      <c r="D411" s="10" t="s">
        <v>1124</v>
      </c>
      <c r="E411" s="10" t="s">
        <v>271</v>
      </c>
      <c r="F411" s="10" t="str">
        <f aca="false">Guidance_Accuracy!D107</f>
        <v>Q2 2024</v>
      </c>
      <c r="G411" s="12" t="s">
        <v>108</v>
      </c>
      <c r="H411" s="10" t="n">
        <f aca="false">IF(EXACT(F411,G411),0,1)</f>
        <v>0</v>
      </c>
      <c r="I411" s="10" t="str">
        <f aca="false">IF(ABS(H411)&lt;=0.000001,"PASS","FAIL")</f>
        <v>PASS</v>
      </c>
      <c r="J411" s="10" t="s">
        <v>1687</v>
      </c>
    </row>
    <row r="412" customFormat="false" ht="15" hidden="false" customHeight="false" outlineLevel="0" collapsed="false">
      <c r="A412" s="10" t="s">
        <v>1970</v>
      </c>
      <c r="B412" s="10" t="s">
        <v>1099</v>
      </c>
      <c r="C412" s="10" t="s">
        <v>1971</v>
      </c>
      <c r="D412" s="10" t="s">
        <v>1124</v>
      </c>
      <c r="E412" s="10" t="s">
        <v>271</v>
      </c>
      <c r="F412" s="10" t="str">
        <f aca="false">Guidance_Accuracy!E107</f>
        <v>Non-GAAP operating income (loss)</v>
      </c>
      <c r="G412" s="12" t="s">
        <v>151</v>
      </c>
      <c r="H412" s="10" t="n">
        <f aca="false">IF(EXACT(F412,G412),0,1)</f>
        <v>0</v>
      </c>
      <c r="I412" s="10" t="str">
        <f aca="false">IF(ABS(H412)&lt;=0.000001,"PASS","FAIL")</f>
        <v>PASS</v>
      </c>
      <c r="J412" s="10" t="s">
        <v>1690</v>
      </c>
    </row>
    <row r="413" customFormat="false" ht="15" hidden="false" customHeight="false" outlineLevel="0" collapsed="false">
      <c r="A413" s="10" t="s">
        <v>1972</v>
      </c>
      <c r="B413" s="10" t="s">
        <v>1099</v>
      </c>
      <c r="C413" s="10" t="s">
        <v>1973</v>
      </c>
      <c r="D413" s="10" t="s">
        <v>1124</v>
      </c>
      <c r="E413" s="10" t="s">
        <v>271</v>
      </c>
      <c r="F413" s="14" t="n">
        <f aca="false">Guidance_Accuracy!F107</f>
        <v>100</v>
      </c>
      <c r="G413" s="12" t="n">
        <v>100</v>
      </c>
      <c r="H413" s="10" t="n">
        <f aca="false">F413-G413</f>
        <v>0</v>
      </c>
      <c r="I413" s="10" t="str">
        <f aca="false">IF(ABS(H413)&lt;=0.000001,"PASS","FAIL")</f>
        <v>PASS</v>
      </c>
      <c r="J413" s="10" t="s">
        <v>1693</v>
      </c>
    </row>
    <row r="414" customFormat="false" ht="15" hidden="false" customHeight="false" outlineLevel="0" collapsed="false">
      <c r="A414" s="10" t="s">
        <v>1974</v>
      </c>
      <c r="B414" s="10" t="s">
        <v>1099</v>
      </c>
      <c r="C414" s="10" t="s">
        <v>1975</v>
      </c>
      <c r="D414" s="10" t="s">
        <v>1124</v>
      </c>
      <c r="E414" s="10" t="s">
        <v>271</v>
      </c>
      <c r="F414" s="14" t="n">
        <f aca="false">Guidance_Accuracy!G107</f>
        <v>105</v>
      </c>
      <c r="G414" s="12" t="n">
        <v>105</v>
      </c>
      <c r="H414" s="10" t="n">
        <f aca="false">F414-G414</f>
        <v>0</v>
      </c>
      <c r="I414" s="10" t="str">
        <f aca="false">IF(ABS(H414)&lt;=0.000001,"PASS","FAIL")</f>
        <v>PASS</v>
      </c>
      <c r="J414" s="10" t="s">
        <v>1696</v>
      </c>
    </row>
    <row r="415" customFormat="false" ht="15" hidden="false" customHeight="false" outlineLevel="0" collapsed="false">
      <c r="A415" s="10" t="s">
        <v>1976</v>
      </c>
      <c r="B415" s="10" t="s">
        <v>1100</v>
      </c>
      <c r="C415" s="10" t="s">
        <v>1977</v>
      </c>
      <c r="D415" s="10" t="s">
        <v>1136</v>
      </c>
      <c r="E415" s="10" t="s">
        <v>264</v>
      </c>
      <c r="F415" s="22" t="n">
        <f aca="false">Guidance_Accuracy!I107</f>
        <v>132383</v>
      </c>
      <c r="G415" s="12" t="n">
        <v>132383</v>
      </c>
      <c r="H415" s="10" t="n">
        <f aca="false">F415-G415</f>
        <v>0</v>
      </c>
      <c r="I415" s="10" t="str">
        <f aca="false">IF(ABS(H415)&lt;=0.000001,"PASS","FAIL")</f>
        <v>PASS</v>
      </c>
      <c r="J415" s="10" t="s">
        <v>1916</v>
      </c>
    </row>
    <row r="416" customFormat="false" ht="15" hidden="false" customHeight="false" outlineLevel="0" collapsed="false">
      <c r="A416" s="10" t="s">
        <v>1978</v>
      </c>
      <c r="B416" s="10" t="s">
        <v>1099</v>
      </c>
      <c r="C416" s="10" t="s">
        <v>1979</v>
      </c>
      <c r="D416" s="10" t="s">
        <v>1124</v>
      </c>
      <c r="E416" s="10" t="s">
        <v>272</v>
      </c>
      <c r="F416" s="10" t="str">
        <f aca="false">Guidance_Accuracy!D108</f>
        <v>Q2 2024</v>
      </c>
      <c r="G416" s="12" t="s">
        <v>108</v>
      </c>
      <c r="H416" s="10" t="n">
        <f aca="false">IF(EXACT(F416,G416),0,1)</f>
        <v>0</v>
      </c>
      <c r="I416" s="10" t="str">
        <f aca="false">IF(ABS(H416)&lt;=0.000001,"PASS","FAIL")</f>
        <v>PASS</v>
      </c>
      <c r="J416" s="10" t="s">
        <v>1687</v>
      </c>
    </row>
    <row r="417" customFormat="false" ht="15" hidden="false" customHeight="false" outlineLevel="0" collapsed="false">
      <c r="A417" s="10" t="s">
        <v>1980</v>
      </c>
      <c r="B417" s="10" t="s">
        <v>1099</v>
      </c>
      <c r="C417" s="10" t="s">
        <v>1981</v>
      </c>
      <c r="D417" s="10" t="s">
        <v>1124</v>
      </c>
      <c r="E417" s="10" t="s">
        <v>272</v>
      </c>
      <c r="F417" s="10" t="str">
        <f aca="false">Guidance_Accuracy!E108</f>
        <v>Revenue</v>
      </c>
      <c r="G417" s="12" t="s">
        <v>24</v>
      </c>
      <c r="H417" s="10" t="n">
        <f aca="false">IF(EXACT(F417,G417),0,1)</f>
        <v>0</v>
      </c>
      <c r="I417" s="10" t="str">
        <f aca="false">IF(ABS(H417)&lt;=0.000001,"PASS","FAIL")</f>
        <v>PASS</v>
      </c>
      <c r="J417" s="10" t="s">
        <v>1690</v>
      </c>
    </row>
    <row r="418" customFormat="false" ht="15" hidden="false" customHeight="false" outlineLevel="0" collapsed="false">
      <c r="A418" s="10" t="s">
        <v>1982</v>
      </c>
      <c r="B418" s="10" t="s">
        <v>1099</v>
      </c>
      <c r="C418" s="10" t="s">
        <v>1983</v>
      </c>
      <c r="D418" s="10" t="s">
        <v>1124</v>
      </c>
      <c r="E418" s="10" t="s">
        <v>272</v>
      </c>
      <c r="F418" s="14" t="n">
        <f aca="false">Guidance_Accuracy!F108</f>
        <v>956</v>
      </c>
      <c r="G418" s="12" t="n">
        <v>956</v>
      </c>
      <c r="H418" s="10" t="n">
        <f aca="false">F418-G418</f>
        <v>0</v>
      </c>
      <c r="I418" s="10" t="str">
        <f aca="false">IF(ABS(H418)&lt;=0.000001,"PASS","FAIL")</f>
        <v>PASS</v>
      </c>
      <c r="J418" s="10" t="s">
        <v>1693</v>
      </c>
    </row>
    <row r="419" customFormat="false" ht="15" hidden="false" customHeight="false" outlineLevel="0" collapsed="false">
      <c r="A419" s="10" t="s">
        <v>1984</v>
      </c>
      <c r="B419" s="10" t="s">
        <v>1099</v>
      </c>
      <c r="C419" s="10" t="s">
        <v>1985</v>
      </c>
      <c r="D419" s="10" t="s">
        <v>1124</v>
      </c>
      <c r="E419" s="10" t="s">
        <v>272</v>
      </c>
      <c r="F419" s="14" t="n">
        <f aca="false">Guidance_Accuracy!G108</f>
        <v>961</v>
      </c>
      <c r="G419" s="12" t="n">
        <v>961</v>
      </c>
      <c r="H419" s="10" t="n">
        <f aca="false">F419-G419</f>
        <v>0</v>
      </c>
      <c r="I419" s="10" t="str">
        <f aca="false">IF(ABS(H419)&lt;=0.000001,"PASS","FAIL")</f>
        <v>PASS</v>
      </c>
      <c r="J419" s="10" t="s">
        <v>1696</v>
      </c>
    </row>
    <row r="420" customFormat="false" ht="15" hidden="false" customHeight="false" outlineLevel="0" collapsed="false">
      <c r="A420" s="10" t="s">
        <v>1986</v>
      </c>
      <c r="B420" s="10" t="s">
        <v>1100</v>
      </c>
      <c r="C420" s="10" t="s">
        <v>1987</v>
      </c>
      <c r="D420" s="10" t="s">
        <v>1136</v>
      </c>
      <c r="E420" s="10" t="s">
        <v>266</v>
      </c>
      <c r="F420" s="22" t="n">
        <f aca="false">Guidance_Accuracy!I108</f>
        <v>971995</v>
      </c>
      <c r="G420" s="12" t="n">
        <v>971995</v>
      </c>
      <c r="H420" s="10" t="n">
        <f aca="false">F420-G420</f>
        <v>0</v>
      </c>
      <c r="I420" s="10" t="str">
        <f aca="false">IF(ABS(H420)&lt;=0.000001,"PASS","FAIL")</f>
        <v>PASS</v>
      </c>
      <c r="J420" s="10" t="s">
        <v>1927</v>
      </c>
    </row>
    <row r="421" customFormat="false" ht="15" hidden="false" customHeight="false" outlineLevel="0" collapsed="false">
      <c r="A421" s="10" t="s">
        <v>1988</v>
      </c>
      <c r="B421" s="10" t="s">
        <v>1099</v>
      </c>
      <c r="C421" s="10" t="s">
        <v>1989</v>
      </c>
      <c r="D421" s="10" t="s">
        <v>1124</v>
      </c>
      <c r="E421" s="10" t="s">
        <v>273</v>
      </c>
      <c r="F421" s="10" t="str">
        <f aca="false">Guidance_Accuracy!D109</f>
        <v>Q3 2024</v>
      </c>
      <c r="G421" s="12" t="s">
        <v>113</v>
      </c>
      <c r="H421" s="10" t="n">
        <f aca="false">IF(EXACT(F421,G421),0,1)</f>
        <v>0</v>
      </c>
      <c r="I421" s="10" t="str">
        <f aca="false">IF(ABS(H421)&lt;=0.000001,"PASS","FAIL")</f>
        <v>PASS</v>
      </c>
      <c r="J421" s="10" t="s">
        <v>1687</v>
      </c>
    </row>
    <row r="422" customFormat="false" ht="15" hidden="false" customHeight="false" outlineLevel="0" collapsed="false">
      <c r="A422" s="10" t="s">
        <v>1990</v>
      </c>
      <c r="B422" s="10" t="s">
        <v>1099</v>
      </c>
      <c r="C422" s="10" t="s">
        <v>1991</v>
      </c>
      <c r="D422" s="10" t="s">
        <v>1124</v>
      </c>
      <c r="E422" s="10" t="s">
        <v>273</v>
      </c>
      <c r="F422" s="10" t="str">
        <f aca="false">Guidance_Accuracy!E109</f>
        <v>Free cash flow</v>
      </c>
      <c r="G422" s="12" t="s">
        <v>196</v>
      </c>
      <c r="H422" s="10" t="n">
        <f aca="false">IF(EXACT(F422,G422),0,1)</f>
        <v>0</v>
      </c>
      <c r="I422" s="10" t="str">
        <f aca="false">IF(ABS(H422)&lt;=0.000001,"PASS","FAIL")</f>
        <v>PASS</v>
      </c>
      <c r="J422" s="10" t="s">
        <v>1690</v>
      </c>
    </row>
    <row r="423" customFormat="false" ht="15" hidden="false" customHeight="false" outlineLevel="0" collapsed="false">
      <c r="A423" s="10" t="s">
        <v>1992</v>
      </c>
      <c r="B423" s="10" t="s">
        <v>1099</v>
      </c>
      <c r="C423" s="10" t="s">
        <v>1993</v>
      </c>
      <c r="D423" s="10" t="s">
        <v>1124</v>
      </c>
      <c r="E423" s="10" t="s">
        <v>273</v>
      </c>
      <c r="F423" s="14" t="n">
        <f aca="false">Guidance_Accuracy!F109</f>
        <v>286</v>
      </c>
      <c r="G423" s="12" t="n">
        <v>286</v>
      </c>
      <c r="H423" s="10" t="n">
        <f aca="false">F423-G423</f>
        <v>0</v>
      </c>
      <c r="I423" s="10" t="str">
        <f aca="false">IF(ABS(H423)&lt;=0.000001,"PASS","FAIL")</f>
        <v>PASS</v>
      </c>
      <c r="J423" s="10" t="s">
        <v>1693</v>
      </c>
    </row>
    <row r="424" customFormat="false" ht="15" hidden="false" customHeight="false" outlineLevel="0" collapsed="false">
      <c r="A424" s="10" t="s">
        <v>1994</v>
      </c>
      <c r="B424" s="10" t="s">
        <v>1099</v>
      </c>
      <c r="C424" s="10" t="s">
        <v>1995</v>
      </c>
      <c r="D424" s="10" t="s">
        <v>1124</v>
      </c>
      <c r="E424" s="10" t="s">
        <v>273</v>
      </c>
      <c r="F424" s="14" t="n">
        <f aca="false">Guidance_Accuracy!G109</f>
        <v>289</v>
      </c>
      <c r="G424" s="12" t="n">
        <v>289</v>
      </c>
      <c r="H424" s="10" t="n">
        <f aca="false">F424-G424</f>
        <v>0</v>
      </c>
      <c r="I424" s="10" t="str">
        <f aca="false">IF(ABS(H424)&lt;=0.000001,"PASS","FAIL")</f>
        <v>PASS</v>
      </c>
      <c r="J424" s="10" t="s">
        <v>1696</v>
      </c>
    </row>
    <row r="425" customFormat="false" ht="15" hidden="false" customHeight="false" outlineLevel="0" collapsed="false">
      <c r="A425" s="10" t="s">
        <v>1996</v>
      </c>
      <c r="B425" s="10" t="s">
        <v>1100</v>
      </c>
      <c r="C425" s="10" t="s">
        <v>1997</v>
      </c>
      <c r="D425" s="10" t="s">
        <v>1136</v>
      </c>
      <c r="E425" s="10" t="s">
        <v>262</v>
      </c>
      <c r="F425" s="22" t="n">
        <f aca="false">Guidance_Accuracy!I109</f>
        <v>295830</v>
      </c>
      <c r="G425" s="12" t="n">
        <v>295830</v>
      </c>
      <c r="H425" s="10" t="n">
        <f aca="false">F425-G425</f>
        <v>0</v>
      </c>
      <c r="I425" s="10" t="str">
        <f aca="false">IF(ABS(H425)&lt;=0.000001,"PASS","FAIL")</f>
        <v>PASS</v>
      </c>
      <c r="J425" s="10" t="s">
        <v>1905</v>
      </c>
    </row>
    <row r="426" customFormat="false" ht="15" hidden="false" customHeight="false" outlineLevel="0" collapsed="false">
      <c r="A426" s="10" t="s">
        <v>1998</v>
      </c>
      <c r="B426" s="10" t="s">
        <v>1099</v>
      </c>
      <c r="C426" s="10" t="s">
        <v>1999</v>
      </c>
      <c r="D426" s="10" t="s">
        <v>1124</v>
      </c>
      <c r="E426" s="10" t="s">
        <v>274</v>
      </c>
      <c r="F426" s="10" t="str">
        <f aca="false">Guidance_Accuracy!D110</f>
        <v>Q3 2024</v>
      </c>
      <c r="G426" s="12" t="s">
        <v>113</v>
      </c>
      <c r="H426" s="10" t="n">
        <f aca="false">IF(EXACT(F426,G426),0,1)</f>
        <v>0</v>
      </c>
      <c r="I426" s="10" t="str">
        <f aca="false">IF(ABS(H426)&lt;=0.000001,"PASS","FAIL")</f>
        <v>PASS</v>
      </c>
      <c r="J426" s="10" t="s">
        <v>1687</v>
      </c>
    </row>
    <row r="427" customFormat="false" ht="15" hidden="false" customHeight="false" outlineLevel="0" collapsed="false">
      <c r="A427" s="10" t="s">
        <v>2000</v>
      </c>
      <c r="B427" s="10" t="s">
        <v>1099</v>
      </c>
      <c r="C427" s="10" t="s">
        <v>2001</v>
      </c>
      <c r="D427" s="10" t="s">
        <v>1124</v>
      </c>
      <c r="E427" s="10" t="s">
        <v>274</v>
      </c>
      <c r="F427" s="10" t="str">
        <f aca="false">Guidance_Accuracy!E110</f>
        <v>Non-GAAP operating income (loss)</v>
      </c>
      <c r="G427" s="12" t="s">
        <v>151</v>
      </c>
      <c r="H427" s="10" t="n">
        <f aca="false">IF(EXACT(F427,G427),0,1)</f>
        <v>0</v>
      </c>
      <c r="I427" s="10" t="str">
        <f aca="false">IF(ABS(H427)&lt;=0.000001,"PASS","FAIL")</f>
        <v>PASS</v>
      </c>
      <c r="J427" s="10" t="s">
        <v>1690</v>
      </c>
    </row>
    <row r="428" customFormat="false" ht="15" hidden="false" customHeight="false" outlineLevel="0" collapsed="false">
      <c r="A428" s="10" t="s">
        <v>2002</v>
      </c>
      <c r="B428" s="10" t="s">
        <v>1099</v>
      </c>
      <c r="C428" s="10" t="s">
        <v>2003</v>
      </c>
      <c r="D428" s="10" t="s">
        <v>1124</v>
      </c>
      <c r="E428" s="10" t="s">
        <v>274</v>
      </c>
      <c r="F428" s="14" t="n">
        <f aca="false">Guidance_Accuracy!F110</f>
        <v>121</v>
      </c>
      <c r="G428" s="12" t="n">
        <v>121</v>
      </c>
      <c r="H428" s="10" t="n">
        <f aca="false">F428-G428</f>
        <v>0</v>
      </c>
      <c r="I428" s="10" t="str">
        <f aca="false">IF(ABS(H428)&lt;=0.000001,"PASS","FAIL")</f>
        <v>PASS</v>
      </c>
      <c r="J428" s="10" t="s">
        <v>1693</v>
      </c>
    </row>
    <row r="429" customFormat="false" ht="15" hidden="false" customHeight="false" outlineLevel="0" collapsed="false">
      <c r="A429" s="10" t="s">
        <v>2004</v>
      </c>
      <c r="B429" s="10" t="s">
        <v>1099</v>
      </c>
      <c r="C429" s="10" t="s">
        <v>2005</v>
      </c>
      <c r="D429" s="10" t="s">
        <v>1124</v>
      </c>
      <c r="E429" s="10" t="s">
        <v>274</v>
      </c>
      <c r="F429" s="14" t="n">
        <f aca="false">Guidance_Accuracy!G110</f>
        <v>123</v>
      </c>
      <c r="G429" s="12" t="n">
        <v>123</v>
      </c>
      <c r="H429" s="10" t="n">
        <f aca="false">F429-G429</f>
        <v>0</v>
      </c>
      <c r="I429" s="10" t="str">
        <f aca="false">IF(ABS(H429)&lt;=0.000001,"PASS","FAIL")</f>
        <v>PASS</v>
      </c>
      <c r="J429" s="10" t="s">
        <v>1696</v>
      </c>
    </row>
    <row r="430" customFormat="false" ht="15" hidden="false" customHeight="false" outlineLevel="0" collapsed="false">
      <c r="A430" s="10" t="s">
        <v>2006</v>
      </c>
      <c r="B430" s="10" t="s">
        <v>1100</v>
      </c>
      <c r="C430" s="10" t="s">
        <v>2007</v>
      </c>
      <c r="D430" s="10" t="s">
        <v>1136</v>
      </c>
      <c r="E430" s="10" t="s">
        <v>264</v>
      </c>
      <c r="F430" s="22" t="n">
        <f aca="false">Guidance_Accuracy!I110</f>
        <v>132383</v>
      </c>
      <c r="G430" s="12" t="n">
        <v>132383</v>
      </c>
      <c r="H430" s="10" t="n">
        <f aca="false">F430-G430</f>
        <v>0</v>
      </c>
      <c r="I430" s="10" t="str">
        <f aca="false">IF(ABS(H430)&lt;=0.000001,"PASS","FAIL")</f>
        <v>PASS</v>
      </c>
      <c r="J430" s="10" t="s">
        <v>1916</v>
      </c>
    </row>
    <row r="431" customFormat="false" ht="15" hidden="false" customHeight="false" outlineLevel="0" collapsed="false">
      <c r="A431" s="10" t="s">
        <v>2008</v>
      </c>
      <c r="B431" s="10" t="s">
        <v>1099</v>
      </c>
      <c r="C431" s="10" t="s">
        <v>2009</v>
      </c>
      <c r="D431" s="10" t="s">
        <v>1124</v>
      </c>
      <c r="E431" s="10" t="s">
        <v>275</v>
      </c>
      <c r="F431" s="10" t="str">
        <f aca="false">Guidance_Accuracy!D111</f>
        <v>Q3 2024</v>
      </c>
      <c r="G431" s="12" t="s">
        <v>113</v>
      </c>
      <c r="H431" s="10" t="n">
        <f aca="false">IF(EXACT(F431,G431),0,1)</f>
        <v>0</v>
      </c>
      <c r="I431" s="10" t="str">
        <f aca="false">IF(ABS(H431)&lt;=0.000001,"PASS","FAIL")</f>
        <v>PASS</v>
      </c>
      <c r="J431" s="10" t="s">
        <v>1687</v>
      </c>
    </row>
    <row r="432" customFormat="false" ht="15" hidden="false" customHeight="false" outlineLevel="0" collapsed="false">
      <c r="A432" s="10" t="s">
        <v>2010</v>
      </c>
      <c r="B432" s="10" t="s">
        <v>1099</v>
      </c>
      <c r="C432" s="10" t="s">
        <v>2011</v>
      </c>
      <c r="D432" s="10" t="s">
        <v>1124</v>
      </c>
      <c r="E432" s="10" t="s">
        <v>275</v>
      </c>
      <c r="F432" s="10" t="str">
        <f aca="false">Guidance_Accuracy!E111</f>
        <v>Revenue</v>
      </c>
      <c r="G432" s="12" t="s">
        <v>24</v>
      </c>
      <c r="H432" s="10" t="n">
        <f aca="false">IF(EXACT(F432,G432),0,1)</f>
        <v>0</v>
      </c>
      <c r="I432" s="10" t="str">
        <f aca="false">IF(ABS(H432)&lt;=0.000001,"PASS","FAIL")</f>
        <v>PASS</v>
      </c>
      <c r="J432" s="10" t="s">
        <v>1690</v>
      </c>
    </row>
    <row r="433" customFormat="false" ht="15" hidden="false" customHeight="false" outlineLevel="0" collapsed="false">
      <c r="A433" s="10" t="s">
        <v>2012</v>
      </c>
      <c r="B433" s="10" t="s">
        <v>1099</v>
      </c>
      <c r="C433" s="10" t="s">
        <v>2013</v>
      </c>
      <c r="D433" s="10" t="s">
        <v>1124</v>
      </c>
      <c r="E433" s="10" t="s">
        <v>275</v>
      </c>
      <c r="F433" s="14" t="n">
        <f aca="false">Guidance_Accuracy!F111</f>
        <v>964</v>
      </c>
      <c r="G433" s="12" t="n">
        <v>964</v>
      </c>
      <c r="H433" s="10" t="n">
        <f aca="false">F433-G433</f>
        <v>0</v>
      </c>
      <c r="I433" s="10" t="str">
        <f aca="false">IF(ABS(H433)&lt;=0.000001,"PASS","FAIL")</f>
        <v>PASS</v>
      </c>
      <c r="J433" s="10" t="s">
        <v>1693</v>
      </c>
    </row>
    <row r="434" customFormat="false" ht="15" hidden="false" customHeight="false" outlineLevel="0" collapsed="false">
      <c r="A434" s="10" t="s">
        <v>2014</v>
      </c>
      <c r="B434" s="10" t="s">
        <v>1099</v>
      </c>
      <c r="C434" s="10" t="s">
        <v>2015</v>
      </c>
      <c r="D434" s="10" t="s">
        <v>1124</v>
      </c>
      <c r="E434" s="10" t="s">
        <v>275</v>
      </c>
      <c r="F434" s="14" t="n">
        <f aca="false">Guidance_Accuracy!G111</f>
        <v>966</v>
      </c>
      <c r="G434" s="12" t="n">
        <v>966</v>
      </c>
      <c r="H434" s="10" t="n">
        <f aca="false">F434-G434</f>
        <v>0</v>
      </c>
      <c r="I434" s="10" t="str">
        <f aca="false">IF(ABS(H434)&lt;=0.000001,"PASS","FAIL")</f>
        <v>PASS</v>
      </c>
      <c r="J434" s="10" t="s">
        <v>1696</v>
      </c>
    </row>
    <row r="435" customFormat="false" ht="15" hidden="false" customHeight="false" outlineLevel="0" collapsed="false">
      <c r="A435" s="10" t="s">
        <v>2016</v>
      </c>
      <c r="B435" s="10" t="s">
        <v>1100</v>
      </c>
      <c r="C435" s="10" t="s">
        <v>2017</v>
      </c>
      <c r="D435" s="10" t="s">
        <v>1136</v>
      </c>
      <c r="E435" s="10" t="s">
        <v>266</v>
      </c>
      <c r="F435" s="22" t="n">
        <f aca="false">Guidance_Accuracy!I111</f>
        <v>971995</v>
      </c>
      <c r="G435" s="12" t="n">
        <v>971995</v>
      </c>
      <c r="H435" s="10" t="n">
        <f aca="false">F435-G435</f>
        <v>0</v>
      </c>
      <c r="I435" s="10" t="str">
        <f aca="false">IF(ABS(H435)&lt;=0.000001,"PASS","FAIL")</f>
        <v>PASS</v>
      </c>
      <c r="J435" s="10" t="s">
        <v>1927</v>
      </c>
    </row>
    <row r="436" customFormat="false" ht="15" hidden="false" customHeight="false" outlineLevel="0" collapsed="false">
      <c r="A436" s="10" t="s">
        <v>2018</v>
      </c>
      <c r="B436" s="10" t="s">
        <v>1099</v>
      </c>
      <c r="C436" s="10" t="s">
        <v>2019</v>
      </c>
      <c r="D436" s="10" t="s">
        <v>1124</v>
      </c>
      <c r="E436" s="10" t="s">
        <v>277</v>
      </c>
      <c r="F436" s="10" t="str">
        <f aca="false">Guidance_Accuracy!D112</f>
        <v>Q4 2024</v>
      </c>
      <c r="G436" s="12" t="s">
        <v>117</v>
      </c>
      <c r="H436" s="10" t="n">
        <f aca="false">IF(EXACT(F436,G436),0,1)</f>
        <v>0</v>
      </c>
      <c r="I436" s="10" t="str">
        <f aca="false">IF(ABS(H436)&lt;=0.000001,"PASS","FAIL")</f>
        <v>PASS</v>
      </c>
      <c r="J436" s="10" t="s">
        <v>1687</v>
      </c>
    </row>
    <row r="437" customFormat="false" ht="15" hidden="false" customHeight="false" outlineLevel="0" collapsed="false">
      <c r="A437" s="10" t="s">
        <v>2020</v>
      </c>
      <c r="B437" s="10" t="s">
        <v>1099</v>
      </c>
      <c r="C437" s="10" t="s">
        <v>2021</v>
      </c>
      <c r="D437" s="10" t="s">
        <v>1124</v>
      </c>
      <c r="E437" s="10" t="s">
        <v>277</v>
      </c>
      <c r="F437" s="10" t="str">
        <f aca="false">Guidance_Accuracy!E112</f>
        <v>Free cash flow</v>
      </c>
      <c r="G437" s="12" t="s">
        <v>196</v>
      </c>
      <c r="H437" s="10" t="n">
        <f aca="false">IF(EXACT(F437,G437),0,1)</f>
        <v>0</v>
      </c>
      <c r="I437" s="10" t="str">
        <f aca="false">IF(ABS(H437)&lt;=0.000001,"PASS","FAIL")</f>
        <v>PASS</v>
      </c>
      <c r="J437" s="10" t="s">
        <v>1690</v>
      </c>
    </row>
    <row r="438" customFormat="false" ht="15" hidden="false" customHeight="false" outlineLevel="0" collapsed="false">
      <c r="A438" s="10" t="s">
        <v>2022</v>
      </c>
      <c r="B438" s="10" t="s">
        <v>1099</v>
      </c>
      <c r="C438" s="10" t="s">
        <v>2023</v>
      </c>
      <c r="D438" s="10" t="s">
        <v>1124</v>
      </c>
      <c r="E438" s="10" t="s">
        <v>277</v>
      </c>
      <c r="F438" s="14" t="n">
        <f aca="false">Guidance_Accuracy!F112</f>
        <v>300</v>
      </c>
      <c r="G438" s="12" t="n">
        <v>300</v>
      </c>
      <c r="H438" s="10" t="n">
        <f aca="false">F438-G438</f>
        <v>0</v>
      </c>
      <c r="I438" s="10" t="str">
        <f aca="false">IF(ABS(H438)&lt;=0.000001,"PASS","FAIL")</f>
        <v>PASS</v>
      </c>
      <c r="J438" s="10" t="s">
        <v>1693</v>
      </c>
    </row>
    <row r="439" customFormat="false" ht="15" hidden="false" customHeight="false" outlineLevel="0" collapsed="false">
      <c r="A439" s="10" t="s">
        <v>2024</v>
      </c>
      <c r="B439" s="10" t="s">
        <v>1099</v>
      </c>
      <c r="C439" s="10" t="s">
        <v>2025</v>
      </c>
      <c r="D439" s="10" t="s">
        <v>1124</v>
      </c>
      <c r="E439" s="10" t="s">
        <v>277</v>
      </c>
      <c r="F439" s="14" t="n">
        <f aca="false">Guidance_Accuracy!G112</f>
        <v>308</v>
      </c>
      <c r="G439" s="12" t="n">
        <v>308</v>
      </c>
      <c r="H439" s="10" t="n">
        <f aca="false">F439-G439</f>
        <v>0</v>
      </c>
      <c r="I439" s="10" t="str">
        <f aca="false">IF(ABS(H439)&lt;=0.000001,"PASS","FAIL")</f>
        <v>PASS</v>
      </c>
      <c r="J439" s="10" t="s">
        <v>1696</v>
      </c>
    </row>
    <row r="440" customFormat="false" ht="15" hidden="false" customHeight="false" outlineLevel="0" collapsed="false">
      <c r="A440" s="10" t="s">
        <v>2026</v>
      </c>
      <c r="B440" s="10" t="s">
        <v>1100</v>
      </c>
      <c r="C440" s="10" t="s">
        <v>2027</v>
      </c>
      <c r="D440" s="10" t="s">
        <v>1136</v>
      </c>
      <c r="E440" s="10" t="s">
        <v>278</v>
      </c>
      <c r="F440" s="22" t="n">
        <f aca="false">Guidance_Accuracy!I112</f>
        <v>322660</v>
      </c>
      <c r="G440" s="12" t="n">
        <v>322660</v>
      </c>
      <c r="H440" s="10" t="n">
        <f aca="false">F440-G440</f>
        <v>0</v>
      </c>
      <c r="I440" s="10" t="str">
        <f aca="false">IF(ABS(H440)&lt;=0.000001,"PASS","FAIL")</f>
        <v>PASS</v>
      </c>
      <c r="J440" s="10" t="s">
        <v>2028</v>
      </c>
    </row>
    <row r="441" customFormat="false" ht="15" hidden="false" customHeight="false" outlineLevel="0" collapsed="false">
      <c r="A441" s="10" t="s">
        <v>2029</v>
      </c>
      <c r="B441" s="10" t="s">
        <v>1099</v>
      </c>
      <c r="C441" s="10" t="s">
        <v>2030</v>
      </c>
      <c r="D441" s="10" t="s">
        <v>1124</v>
      </c>
      <c r="E441" s="10" t="s">
        <v>279</v>
      </c>
      <c r="F441" s="10" t="str">
        <f aca="false">Guidance_Accuracy!D113</f>
        <v>Q4 2024</v>
      </c>
      <c r="G441" s="12" t="s">
        <v>117</v>
      </c>
      <c r="H441" s="10" t="n">
        <f aca="false">IF(EXACT(F441,G441),0,1)</f>
        <v>0</v>
      </c>
      <c r="I441" s="10" t="str">
        <f aca="false">IF(ABS(H441)&lt;=0.000001,"PASS","FAIL")</f>
        <v>PASS</v>
      </c>
      <c r="J441" s="10" t="s">
        <v>1687</v>
      </c>
    </row>
    <row r="442" customFormat="false" ht="15" hidden="false" customHeight="false" outlineLevel="0" collapsed="false">
      <c r="A442" s="10" t="s">
        <v>2031</v>
      </c>
      <c r="B442" s="10" t="s">
        <v>1099</v>
      </c>
      <c r="C442" s="10" t="s">
        <v>2032</v>
      </c>
      <c r="D442" s="10" t="s">
        <v>1124</v>
      </c>
      <c r="E442" s="10" t="s">
        <v>279</v>
      </c>
      <c r="F442" s="10" t="str">
        <f aca="false">Guidance_Accuracy!E113</f>
        <v>Non-GAAP operating income (loss)</v>
      </c>
      <c r="G442" s="12" t="s">
        <v>151</v>
      </c>
      <c r="H442" s="10" t="n">
        <f aca="false">IF(EXACT(F442,G442),0,1)</f>
        <v>0</v>
      </c>
      <c r="I442" s="10" t="str">
        <f aca="false">IF(ABS(H442)&lt;=0.000001,"PASS","FAIL")</f>
        <v>PASS</v>
      </c>
      <c r="J442" s="10" t="s">
        <v>1690</v>
      </c>
    </row>
    <row r="443" customFormat="false" ht="15" hidden="false" customHeight="false" outlineLevel="0" collapsed="false">
      <c r="A443" s="10" t="s">
        <v>2033</v>
      </c>
      <c r="B443" s="10" t="s">
        <v>1099</v>
      </c>
      <c r="C443" s="10" t="s">
        <v>2034</v>
      </c>
      <c r="D443" s="10" t="s">
        <v>1124</v>
      </c>
      <c r="E443" s="10" t="s">
        <v>279</v>
      </c>
      <c r="F443" s="14" t="n">
        <f aca="false">Guidance_Accuracy!F113</f>
        <v>134</v>
      </c>
      <c r="G443" s="12" t="n">
        <v>134</v>
      </c>
      <c r="H443" s="10" t="n">
        <f aca="false">F443-G443</f>
        <v>0</v>
      </c>
      <c r="I443" s="10" t="str">
        <f aca="false">IF(ABS(H443)&lt;=0.000001,"PASS","FAIL")</f>
        <v>PASS</v>
      </c>
      <c r="J443" s="10" t="s">
        <v>1693</v>
      </c>
    </row>
    <row r="444" customFormat="false" ht="15" hidden="false" customHeight="false" outlineLevel="0" collapsed="false">
      <c r="A444" s="10" t="s">
        <v>2035</v>
      </c>
      <c r="B444" s="10" t="s">
        <v>1099</v>
      </c>
      <c r="C444" s="10" t="s">
        <v>2036</v>
      </c>
      <c r="D444" s="10" t="s">
        <v>1124</v>
      </c>
      <c r="E444" s="10" t="s">
        <v>279</v>
      </c>
      <c r="F444" s="14" t="n">
        <f aca="false">Guidance_Accuracy!G113</f>
        <v>142</v>
      </c>
      <c r="G444" s="12" t="n">
        <v>142</v>
      </c>
      <c r="H444" s="10" t="n">
        <f aca="false">F444-G444</f>
        <v>0</v>
      </c>
      <c r="I444" s="10" t="str">
        <f aca="false">IF(ABS(H444)&lt;=0.000001,"PASS","FAIL")</f>
        <v>PASS</v>
      </c>
      <c r="J444" s="10" t="s">
        <v>1696</v>
      </c>
    </row>
    <row r="445" customFormat="false" ht="15" hidden="false" customHeight="false" outlineLevel="0" collapsed="false">
      <c r="A445" s="10" t="s">
        <v>2037</v>
      </c>
      <c r="B445" s="10" t="s">
        <v>1100</v>
      </c>
      <c r="C445" s="10" t="s">
        <v>2038</v>
      </c>
      <c r="D445" s="10" t="s">
        <v>1136</v>
      </c>
      <c r="E445" s="10" t="s">
        <v>280</v>
      </c>
      <c r="F445" s="22" t="n">
        <f aca="false">Guidance_Accuracy!I113</f>
        <v>175263</v>
      </c>
      <c r="G445" s="12" t="n">
        <v>175263</v>
      </c>
      <c r="H445" s="10" t="n">
        <f aca="false">F445-G445</f>
        <v>0</v>
      </c>
      <c r="I445" s="10" t="str">
        <f aca="false">IF(ABS(H445)&lt;=0.000001,"PASS","FAIL")</f>
        <v>PASS</v>
      </c>
      <c r="J445" s="10" t="s">
        <v>2039</v>
      </c>
    </row>
    <row r="446" customFormat="false" ht="15" hidden="false" customHeight="false" outlineLevel="0" collapsed="false">
      <c r="A446" s="10" t="s">
        <v>2040</v>
      </c>
      <c r="B446" s="10" t="s">
        <v>1099</v>
      </c>
      <c r="C446" s="10" t="s">
        <v>2041</v>
      </c>
      <c r="D446" s="10" t="s">
        <v>1124</v>
      </c>
      <c r="E446" s="10" t="s">
        <v>281</v>
      </c>
      <c r="F446" s="10" t="str">
        <f aca="false">Guidance_Accuracy!D114</f>
        <v>Q4 2024</v>
      </c>
      <c r="G446" s="12" t="s">
        <v>117</v>
      </c>
      <c r="H446" s="10" t="n">
        <f aca="false">IF(EXACT(F446,G446),0,1)</f>
        <v>0</v>
      </c>
      <c r="I446" s="10" t="str">
        <f aca="false">IF(ABS(H446)&lt;=0.000001,"PASS","FAIL")</f>
        <v>PASS</v>
      </c>
      <c r="J446" s="10" t="s">
        <v>1687</v>
      </c>
    </row>
    <row r="447" customFormat="false" ht="15" hidden="false" customHeight="false" outlineLevel="0" collapsed="false">
      <c r="A447" s="10" t="s">
        <v>2042</v>
      </c>
      <c r="B447" s="10" t="s">
        <v>1099</v>
      </c>
      <c r="C447" s="10" t="s">
        <v>2043</v>
      </c>
      <c r="D447" s="10" t="s">
        <v>1124</v>
      </c>
      <c r="E447" s="10" t="s">
        <v>281</v>
      </c>
      <c r="F447" s="10" t="str">
        <f aca="false">Guidance_Accuracy!E114</f>
        <v>Revenue</v>
      </c>
      <c r="G447" s="12" t="s">
        <v>24</v>
      </c>
      <c r="H447" s="10" t="n">
        <f aca="false">IF(EXACT(F447,G447),0,1)</f>
        <v>0</v>
      </c>
      <c r="I447" s="10" t="str">
        <f aca="false">IF(ABS(H447)&lt;=0.000001,"PASS","FAIL")</f>
        <v>PASS</v>
      </c>
      <c r="J447" s="10" t="s">
        <v>1690</v>
      </c>
    </row>
    <row r="448" customFormat="false" ht="15" hidden="false" customHeight="false" outlineLevel="0" collapsed="false">
      <c r="A448" s="10" t="s">
        <v>2044</v>
      </c>
      <c r="B448" s="10" t="s">
        <v>1099</v>
      </c>
      <c r="C448" s="10" t="s">
        <v>2045</v>
      </c>
      <c r="D448" s="10" t="s">
        <v>1124</v>
      </c>
      <c r="E448" s="10" t="s">
        <v>281</v>
      </c>
      <c r="F448" s="14" t="n">
        <f aca="false">Guidance_Accuracy!F114</f>
        <v>1208</v>
      </c>
      <c r="G448" s="12" t="n">
        <v>1208</v>
      </c>
      <c r="H448" s="10" t="n">
        <f aca="false">F448-G448</f>
        <v>0</v>
      </c>
      <c r="I448" s="10" t="str">
        <f aca="false">IF(ABS(H448)&lt;=0.000001,"PASS","FAIL")</f>
        <v>PASS</v>
      </c>
      <c r="J448" s="10" t="s">
        <v>1693</v>
      </c>
    </row>
    <row r="449" customFormat="false" ht="15" hidden="false" customHeight="false" outlineLevel="0" collapsed="false">
      <c r="A449" s="10" t="s">
        <v>2046</v>
      </c>
      <c r="B449" s="10" t="s">
        <v>1099</v>
      </c>
      <c r="C449" s="10" t="s">
        <v>2047</v>
      </c>
      <c r="D449" s="10" t="s">
        <v>1124</v>
      </c>
      <c r="E449" s="10" t="s">
        <v>281</v>
      </c>
      <c r="F449" s="14" t="n">
        <f aca="false">Guidance_Accuracy!G114</f>
        <v>1221</v>
      </c>
      <c r="G449" s="12" t="n">
        <v>1221</v>
      </c>
      <c r="H449" s="10" t="n">
        <f aca="false">F449-G449</f>
        <v>0</v>
      </c>
      <c r="I449" s="10" t="str">
        <f aca="false">IF(ABS(H449)&lt;=0.000001,"PASS","FAIL")</f>
        <v>PASS</v>
      </c>
      <c r="J449" s="10" t="s">
        <v>1696</v>
      </c>
    </row>
    <row r="450" customFormat="false" ht="15" hidden="false" customHeight="false" outlineLevel="0" collapsed="false">
      <c r="A450" s="10" t="s">
        <v>2048</v>
      </c>
      <c r="B450" s="10" t="s">
        <v>1100</v>
      </c>
      <c r="C450" s="10" t="s">
        <v>2049</v>
      </c>
      <c r="D450" s="10" t="s">
        <v>1136</v>
      </c>
      <c r="E450" s="10" t="s">
        <v>282</v>
      </c>
      <c r="F450" s="22" t="n">
        <f aca="false">Guidance_Accuracy!I114</f>
        <v>1231997</v>
      </c>
      <c r="G450" s="12" t="n">
        <v>1231997</v>
      </c>
      <c r="H450" s="10" t="n">
        <f aca="false">F450-G450</f>
        <v>0</v>
      </c>
      <c r="I450" s="10" t="str">
        <f aca="false">IF(ABS(H450)&lt;=0.000001,"PASS","FAIL")</f>
        <v>PASS</v>
      </c>
      <c r="J450" s="10" t="s">
        <v>2050</v>
      </c>
    </row>
    <row r="451" customFormat="false" ht="15" hidden="false" customHeight="false" outlineLevel="0" collapsed="false">
      <c r="A451" s="10" t="s">
        <v>2051</v>
      </c>
      <c r="B451" s="10" t="s">
        <v>1099</v>
      </c>
      <c r="C451" s="10" t="s">
        <v>2052</v>
      </c>
      <c r="D451" s="10" t="s">
        <v>1124</v>
      </c>
      <c r="E451" s="10" t="s">
        <v>283</v>
      </c>
      <c r="F451" s="10" t="str">
        <f aca="false">Guidance_Accuracy!D115</f>
        <v>Q1 2025</v>
      </c>
      <c r="G451" s="12" t="s">
        <v>121</v>
      </c>
      <c r="H451" s="10" t="n">
        <f aca="false">IF(EXACT(F451,G451),0,1)</f>
        <v>0</v>
      </c>
      <c r="I451" s="10" t="str">
        <f aca="false">IF(ABS(H451)&lt;=0.000001,"PASS","FAIL")</f>
        <v>PASS</v>
      </c>
      <c r="J451" s="10" t="s">
        <v>1687</v>
      </c>
    </row>
    <row r="452" customFormat="false" ht="15" hidden="false" customHeight="false" outlineLevel="0" collapsed="false">
      <c r="A452" s="10" t="s">
        <v>2053</v>
      </c>
      <c r="B452" s="10" t="s">
        <v>1099</v>
      </c>
      <c r="C452" s="10" t="s">
        <v>2054</v>
      </c>
      <c r="D452" s="10" t="s">
        <v>1124</v>
      </c>
      <c r="E452" s="10" t="s">
        <v>283</v>
      </c>
      <c r="F452" s="10" t="str">
        <f aca="false">Guidance_Accuracy!E115</f>
        <v>Adjusted free cash flow</v>
      </c>
      <c r="G452" s="12" t="s">
        <v>284</v>
      </c>
      <c r="H452" s="10" t="n">
        <f aca="false">IF(EXACT(F452,G452),0,1)</f>
        <v>0</v>
      </c>
      <c r="I452" s="10" t="str">
        <f aca="false">IF(ABS(H452)&lt;=0.000001,"PASS","FAIL")</f>
        <v>PASS</v>
      </c>
      <c r="J452" s="10" t="s">
        <v>1690</v>
      </c>
    </row>
    <row r="453" customFormat="false" ht="15" hidden="false" customHeight="false" outlineLevel="0" collapsed="false">
      <c r="A453" s="10" t="s">
        <v>2055</v>
      </c>
      <c r="B453" s="10" t="s">
        <v>1099</v>
      </c>
      <c r="C453" s="10" t="s">
        <v>2056</v>
      </c>
      <c r="D453" s="10" t="s">
        <v>1124</v>
      </c>
      <c r="E453" s="10" t="s">
        <v>283</v>
      </c>
      <c r="F453" s="14" t="n">
        <f aca="false">Guidance_Accuracy!F115</f>
        <v>310</v>
      </c>
      <c r="G453" s="12" t="n">
        <v>310</v>
      </c>
      <c r="H453" s="10" t="n">
        <f aca="false">F453-G453</f>
        <v>0</v>
      </c>
      <c r="I453" s="10" t="str">
        <f aca="false">IF(ABS(H453)&lt;=0.000001,"PASS","FAIL")</f>
        <v>PASS</v>
      </c>
      <c r="J453" s="10" t="s">
        <v>1693</v>
      </c>
    </row>
    <row r="454" customFormat="false" ht="15" hidden="false" customHeight="false" outlineLevel="0" collapsed="false">
      <c r="A454" s="10" t="s">
        <v>2057</v>
      </c>
      <c r="B454" s="10" t="s">
        <v>1099</v>
      </c>
      <c r="C454" s="10" t="s">
        <v>2058</v>
      </c>
      <c r="D454" s="10" t="s">
        <v>1124</v>
      </c>
      <c r="E454" s="10" t="s">
        <v>283</v>
      </c>
      <c r="F454" s="14" t="n">
        <f aca="false">Guidance_Accuracy!G115</f>
        <v>316</v>
      </c>
      <c r="G454" s="12" t="n">
        <v>316</v>
      </c>
      <c r="H454" s="10" t="n">
        <f aca="false">F454-G454</f>
        <v>0</v>
      </c>
      <c r="I454" s="10" t="str">
        <f aca="false">IF(ABS(H454)&lt;=0.000001,"PASS","FAIL")</f>
        <v>PASS</v>
      </c>
      <c r="J454" s="10" t="s">
        <v>1696</v>
      </c>
    </row>
    <row r="455" customFormat="false" ht="15" hidden="false" customHeight="false" outlineLevel="0" collapsed="false">
      <c r="A455" s="10" t="s">
        <v>2059</v>
      </c>
      <c r="B455" s="10" t="s">
        <v>1100</v>
      </c>
      <c r="C455" s="10" t="s">
        <v>2060</v>
      </c>
      <c r="D455" s="10" t="s">
        <v>1136</v>
      </c>
      <c r="E455" s="10" t="s">
        <v>278</v>
      </c>
      <c r="F455" s="22" t="n">
        <f aca="false">Guidance_Accuracy!I115</f>
        <v>322660</v>
      </c>
      <c r="G455" s="12" t="n">
        <v>322660</v>
      </c>
      <c r="H455" s="10" t="n">
        <f aca="false">F455-G455</f>
        <v>0</v>
      </c>
      <c r="I455" s="10" t="str">
        <f aca="false">IF(ABS(H455)&lt;=0.000001,"PASS","FAIL")</f>
        <v>PASS</v>
      </c>
      <c r="J455" s="10" t="s">
        <v>2061</v>
      </c>
    </row>
    <row r="456" customFormat="false" ht="15" hidden="false" customHeight="false" outlineLevel="0" collapsed="false">
      <c r="A456" s="10" t="s">
        <v>2062</v>
      </c>
      <c r="B456" s="10" t="s">
        <v>1099</v>
      </c>
      <c r="C456" s="10" t="s">
        <v>2063</v>
      </c>
      <c r="D456" s="10" t="s">
        <v>1124</v>
      </c>
      <c r="E456" s="10" t="s">
        <v>285</v>
      </c>
      <c r="F456" s="10" t="str">
        <f aca="false">Guidance_Accuracy!D116</f>
        <v>Q1 2025</v>
      </c>
      <c r="G456" s="12" t="s">
        <v>121</v>
      </c>
      <c r="H456" s="10" t="n">
        <f aca="false">IF(EXACT(F456,G456),0,1)</f>
        <v>0</v>
      </c>
      <c r="I456" s="10" t="str">
        <f aca="false">IF(ABS(H456)&lt;=0.000001,"PASS","FAIL")</f>
        <v>PASS</v>
      </c>
      <c r="J456" s="10" t="s">
        <v>1687</v>
      </c>
    </row>
    <row r="457" customFormat="false" ht="15" hidden="false" customHeight="false" outlineLevel="0" collapsed="false">
      <c r="A457" s="10" t="s">
        <v>2064</v>
      </c>
      <c r="B457" s="10" t="s">
        <v>1099</v>
      </c>
      <c r="C457" s="10" t="s">
        <v>2065</v>
      </c>
      <c r="D457" s="10" t="s">
        <v>1124</v>
      </c>
      <c r="E457" s="10" t="s">
        <v>285</v>
      </c>
      <c r="F457" s="10" t="str">
        <f aca="false">Guidance_Accuracy!E116</f>
        <v>Non-GAAP operating income (loss)</v>
      </c>
      <c r="G457" s="12" t="s">
        <v>151</v>
      </c>
      <c r="H457" s="10" t="n">
        <f aca="false">IF(EXACT(F457,G457),0,1)</f>
        <v>0</v>
      </c>
      <c r="I457" s="10" t="str">
        <f aca="false">IF(ABS(H457)&lt;=0.000001,"PASS","FAIL")</f>
        <v>PASS</v>
      </c>
      <c r="J457" s="10" t="s">
        <v>1690</v>
      </c>
    </row>
    <row r="458" customFormat="false" ht="15" hidden="false" customHeight="false" outlineLevel="0" collapsed="false">
      <c r="A458" s="10" t="s">
        <v>2066</v>
      </c>
      <c r="B458" s="10" t="s">
        <v>1099</v>
      </c>
      <c r="C458" s="10" t="s">
        <v>2067</v>
      </c>
      <c r="D458" s="10" t="s">
        <v>1124</v>
      </c>
      <c r="E458" s="10" t="s">
        <v>285</v>
      </c>
      <c r="F458" s="14" t="n">
        <f aca="false">Guidance_Accuracy!F116</f>
        <v>144</v>
      </c>
      <c r="G458" s="12" t="n">
        <v>144</v>
      </c>
      <c r="H458" s="10" t="n">
        <f aca="false">F458-G458</f>
        <v>0</v>
      </c>
      <c r="I458" s="10" t="str">
        <f aca="false">IF(ABS(H458)&lt;=0.000001,"PASS","FAIL")</f>
        <v>PASS</v>
      </c>
      <c r="J458" s="10" t="s">
        <v>1693</v>
      </c>
    </row>
    <row r="459" customFormat="false" ht="15" hidden="false" customHeight="false" outlineLevel="0" collapsed="false">
      <c r="A459" s="10" t="s">
        <v>2068</v>
      </c>
      <c r="B459" s="10" t="s">
        <v>1099</v>
      </c>
      <c r="C459" s="10" t="s">
        <v>2069</v>
      </c>
      <c r="D459" s="10" t="s">
        <v>1124</v>
      </c>
      <c r="E459" s="10" t="s">
        <v>285</v>
      </c>
      <c r="F459" s="14" t="n">
        <f aca="false">Guidance_Accuracy!G116</f>
        <v>150</v>
      </c>
      <c r="G459" s="12" t="n">
        <v>150</v>
      </c>
      <c r="H459" s="10" t="n">
        <f aca="false">F459-G459</f>
        <v>0</v>
      </c>
      <c r="I459" s="10" t="str">
        <f aca="false">IF(ABS(H459)&lt;=0.000001,"PASS","FAIL")</f>
        <v>PASS</v>
      </c>
      <c r="J459" s="10" t="s">
        <v>1696</v>
      </c>
    </row>
    <row r="460" customFormat="false" ht="15" hidden="false" customHeight="false" outlineLevel="0" collapsed="false">
      <c r="A460" s="10" t="s">
        <v>2070</v>
      </c>
      <c r="B460" s="10" t="s">
        <v>1100</v>
      </c>
      <c r="C460" s="10" t="s">
        <v>2071</v>
      </c>
      <c r="D460" s="10" t="s">
        <v>1136</v>
      </c>
      <c r="E460" s="10" t="s">
        <v>280</v>
      </c>
      <c r="F460" s="22" t="n">
        <f aca="false">Guidance_Accuracy!I116</f>
        <v>175263</v>
      </c>
      <c r="G460" s="12" t="n">
        <v>175263</v>
      </c>
      <c r="H460" s="10" t="n">
        <f aca="false">F460-G460</f>
        <v>0</v>
      </c>
      <c r="I460" s="10" t="str">
        <f aca="false">IF(ABS(H460)&lt;=0.000001,"PASS","FAIL")</f>
        <v>PASS</v>
      </c>
      <c r="J460" s="10" t="s">
        <v>2039</v>
      </c>
    </row>
    <row r="461" customFormat="false" ht="15" hidden="false" customHeight="false" outlineLevel="0" collapsed="false">
      <c r="A461" s="10" t="s">
        <v>2072</v>
      </c>
      <c r="B461" s="10" t="s">
        <v>1099</v>
      </c>
      <c r="C461" s="10" t="s">
        <v>2073</v>
      </c>
      <c r="D461" s="10" t="s">
        <v>1124</v>
      </c>
      <c r="E461" s="10" t="s">
        <v>286</v>
      </c>
      <c r="F461" s="10" t="str">
        <f aca="false">Guidance_Accuracy!D117</f>
        <v>Q1 2025</v>
      </c>
      <c r="G461" s="12" t="s">
        <v>121</v>
      </c>
      <c r="H461" s="10" t="n">
        <f aca="false">IF(EXACT(F461,G461),0,1)</f>
        <v>0</v>
      </c>
      <c r="I461" s="10" t="str">
        <f aca="false">IF(ABS(H461)&lt;=0.000001,"PASS","FAIL")</f>
        <v>PASS</v>
      </c>
      <c r="J461" s="10" t="s">
        <v>1687</v>
      </c>
    </row>
    <row r="462" customFormat="false" ht="15" hidden="false" customHeight="false" outlineLevel="0" collapsed="false">
      <c r="A462" s="10" t="s">
        <v>2074</v>
      </c>
      <c r="B462" s="10" t="s">
        <v>1099</v>
      </c>
      <c r="C462" s="10" t="s">
        <v>2075</v>
      </c>
      <c r="D462" s="10" t="s">
        <v>1124</v>
      </c>
      <c r="E462" s="10" t="s">
        <v>286</v>
      </c>
      <c r="F462" s="10" t="str">
        <f aca="false">Guidance_Accuracy!E117</f>
        <v>Revenue</v>
      </c>
      <c r="G462" s="12" t="s">
        <v>24</v>
      </c>
      <c r="H462" s="10" t="n">
        <f aca="false">IF(EXACT(F462,G462),0,1)</f>
        <v>0</v>
      </c>
      <c r="I462" s="10" t="str">
        <f aca="false">IF(ABS(H462)&lt;=0.000001,"PASS","FAIL")</f>
        <v>PASS</v>
      </c>
      <c r="J462" s="10" t="s">
        <v>1690</v>
      </c>
    </row>
    <row r="463" customFormat="false" ht="15" hidden="false" customHeight="false" outlineLevel="0" collapsed="false">
      <c r="A463" s="10" t="s">
        <v>2076</v>
      </c>
      <c r="B463" s="10" t="s">
        <v>1099</v>
      </c>
      <c r="C463" s="10" t="s">
        <v>2077</v>
      </c>
      <c r="D463" s="10" t="s">
        <v>1124</v>
      </c>
      <c r="E463" s="10" t="s">
        <v>286</v>
      </c>
      <c r="F463" s="14" t="n">
        <f aca="false">Guidance_Accuracy!F117</f>
        <v>1220</v>
      </c>
      <c r="G463" s="12" t="n">
        <v>1220</v>
      </c>
      <c r="H463" s="10" t="n">
        <f aca="false">F463-G463</f>
        <v>0</v>
      </c>
      <c r="I463" s="10" t="str">
        <f aca="false">IF(ABS(H463)&lt;=0.000001,"PASS","FAIL")</f>
        <v>PASS</v>
      </c>
      <c r="J463" s="10" t="s">
        <v>1693</v>
      </c>
    </row>
    <row r="464" customFormat="false" ht="15" hidden="false" customHeight="false" outlineLevel="0" collapsed="false">
      <c r="A464" s="10" t="s">
        <v>2078</v>
      </c>
      <c r="B464" s="10" t="s">
        <v>1099</v>
      </c>
      <c r="C464" s="10" t="s">
        <v>2079</v>
      </c>
      <c r="D464" s="10" t="s">
        <v>1124</v>
      </c>
      <c r="E464" s="10" t="s">
        <v>286</v>
      </c>
      <c r="F464" s="14" t="n">
        <f aca="false">Guidance_Accuracy!G117</f>
        <v>1226</v>
      </c>
      <c r="G464" s="12" t="n">
        <v>1226</v>
      </c>
      <c r="H464" s="10" t="n">
        <f aca="false">F464-G464</f>
        <v>0</v>
      </c>
      <c r="I464" s="10" t="str">
        <f aca="false">IF(ABS(H464)&lt;=0.000001,"PASS","FAIL")</f>
        <v>PASS</v>
      </c>
      <c r="J464" s="10" t="s">
        <v>1696</v>
      </c>
    </row>
    <row r="465" customFormat="false" ht="15" hidden="false" customHeight="false" outlineLevel="0" collapsed="false">
      <c r="A465" s="10" t="s">
        <v>2080</v>
      </c>
      <c r="B465" s="10" t="s">
        <v>1100</v>
      </c>
      <c r="C465" s="10" t="s">
        <v>2081</v>
      </c>
      <c r="D465" s="10" t="s">
        <v>1136</v>
      </c>
      <c r="E465" s="10" t="s">
        <v>282</v>
      </c>
      <c r="F465" s="22" t="n">
        <f aca="false">Guidance_Accuracy!I117</f>
        <v>1231997</v>
      </c>
      <c r="G465" s="12" t="n">
        <v>1231997</v>
      </c>
      <c r="H465" s="10" t="n">
        <f aca="false">F465-G465</f>
        <v>0</v>
      </c>
      <c r="I465" s="10" t="str">
        <f aca="false">IF(ABS(H465)&lt;=0.000001,"PASS","FAIL")</f>
        <v>PASS</v>
      </c>
      <c r="J465" s="10" t="s">
        <v>2050</v>
      </c>
    </row>
    <row r="466" customFormat="false" ht="15" hidden="false" customHeight="false" outlineLevel="0" collapsed="false">
      <c r="A466" s="10" t="s">
        <v>2082</v>
      </c>
      <c r="B466" s="10" t="s">
        <v>1099</v>
      </c>
      <c r="C466" s="10" t="s">
        <v>2083</v>
      </c>
      <c r="D466" s="10" t="s">
        <v>1124</v>
      </c>
      <c r="E466" s="10" t="s">
        <v>287</v>
      </c>
      <c r="F466" s="10" t="str">
        <f aca="false">Guidance_Accuracy!D118</f>
        <v>Q2 2025</v>
      </c>
      <c r="G466" s="12" t="s">
        <v>125</v>
      </c>
      <c r="H466" s="10" t="n">
        <f aca="false">IF(EXACT(F466,G466),0,1)</f>
        <v>0</v>
      </c>
      <c r="I466" s="10" t="str">
        <f aca="false">IF(ABS(H466)&lt;=0.000001,"PASS","FAIL")</f>
        <v>PASS</v>
      </c>
      <c r="J466" s="10" t="s">
        <v>1687</v>
      </c>
    </row>
    <row r="467" customFormat="false" ht="15" hidden="false" customHeight="false" outlineLevel="0" collapsed="false">
      <c r="A467" s="10" t="s">
        <v>2084</v>
      </c>
      <c r="B467" s="10" t="s">
        <v>1099</v>
      </c>
      <c r="C467" s="10" t="s">
        <v>2085</v>
      </c>
      <c r="D467" s="10" t="s">
        <v>1124</v>
      </c>
      <c r="E467" s="10" t="s">
        <v>287</v>
      </c>
      <c r="F467" s="10" t="str">
        <f aca="false">Guidance_Accuracy!E118</f>
        <v>Adjusted free cash flow</v>
      </c>
      <c r="G467" s="12" t="s">
        <v>284</v>
      </c>
      <c r="H467" s="10" t="n">
        <f aca="false">IF(EXACT(F467,G467),0,1)</f>
        <v>0</v>
      </c>
      <c r="I467" s="10" t="str">
        <f aca="false">IF(ABS(H467)&lt;=0.000001,"PASS","FAIL")</f>
        <v>PASS</v>
      </c>
      <c r="J467" s="10" t="s">
        <v>1690</v>
      </c>
    </row>
    <row r="468" customFormat="false" ht="15" hidden="false" customHeight="false" outlineLevel="0" collapsed="false">
      <c r="A468" s="10" t="s">
        <v>2086</v>
      </c>
      <c r="B468" s="10" t="s">
        <v>1099</v>
      </c>
      <c r="C468" s="10" t="s">
        <v>2087</v>
      </c>
      <c r="D468" s="10" t="s">
        <v>1124</v>
      </c>
      <c r="E468" s="10" t="s">
        <v>287</v>
      </c>
      <c r="F468" s="14" t="n">
        <f aca="false">Guidance_Accuracy!F118</f>
        <v>320</v>
      </c>
      <c r="G468" s="12" t="n">
        <v>320</v>
      </c>
      <c r="H468" s="10" t="n">
        <f aca="false">F468-G468</f>
        <v>0</v>
      </c>
      <c r="I468" s="10" t="str">
        <f aca="false">IF(ABS(H468)&lt;=0.000001,"PASS","FAIL")</f>
        <v>PASS</v>
      </c>
      <c r="J468" s="10" t="s">
        <v>1693</v>
      </c>
    </row>
    <row r="469" customFormat="false" ht="15" hidden="false" customHeight="false" outlineLevel="0" collapsed="false">
      <c r="A469" s="10" t="s">
        <v>2088</v>
      </c>
      <c r="B469" s="10" t="s">
        <v>1099</v>
      </c>
      <c r="C469" s="10" t="s">
        <v>2089</v>
      </c>
      <c r="D469" s="10" t="s">
        <v>1124</v>
      </c>
      <c r="E469" s="10" t="s">
        <v>287</v>
      </c>
      <c r="F469" s="14" t="n">
        <f aca="false">Guidance_Accuracy!G118</f>
        <v>326</v>
      </c>
      <c r="G469" s="12" t="n">
        <v>326</v>
      </c>
      <c r="H469" s="10" t="n">
        <f aca="false">F469-G469</f>
        <v>0</v>
      </c>
      <c r="I469" s="10" t="str">
        <f aca="false">IF(ABS(H469)&lt;=0.000001,"PASS","FAIL")</f>
        <v>PASS</v>
      </c>
      <c r="J469" s="10" t="s">
        <v>1696</v>
      </c>
    </row>
    <row r="470" customFormat="false" ht="15" hidden="false" customHeight="false" outlineLevel="0" collapsed="false">
      <c r="A470" s="10" t="s">
        <v>2090</v>
      </c>
      <c r="B470" s="10" t="s">
        <v>1100</v>
      </c>
      <c r="C470" s="10" t="s">
        <v>2091</v>
      </c>
      <c r="D470" s="10" t="s">
        <v>1136</v>
      </c>
      <c r="E470" s="10" t="s">
        <v>278</v>
      </c>
      <c r="F470" s="22" t="n">
        <f aca="false">Guidance_Accuracy!I118</f>
        <v>322660</v>
      </c>
      <c r="G470" s="12" t="n">
        <v>322660</v>
      </c>
      <c r="H470" s="10" t="n">
        <f aca="false">F470-G470</f>
        <v>0</v>
      </c>
      <c r="I470" s="10" t="str">
        <f aca="false">IF(ABS(H470)&lt;=0.000001,"PASS","FAIL")</f>
        <v>PASS</v>
      </c>
      <c r="J470" s="10" t="s">
        <v>2061</v>
      </c>
    </row>
    <row r="471" customFormat="false" ht="15" hidden="false" customHeight="false" outlineLevel="0" collapsed="false">
      <c r="A471" s="10" t="s">
        <v>2092</v>
      </c>
      <c r="B471" s="10" t="s">
        <v>1099</v>
      </c>
      <c r="C471" s="10" t="s">
        <v>2093</v>
      </c>
      <c r="D471" s="10" t="s">
        <v>1124</v>
      </c>
      <c r="E471" s="10" t="s">
        <v>288</v>
      </c>
      <c r="F471" s="10" t="str">
        <f aca="false">Guidance_Accuracy!D119</f>
        <v>Q2 2025</v>
      </c>
      <c r="G471" s="12" t="s">
        <v>125</v>
      </c>
      <c r="H471" s="10" t="n">
        <f aca="false">IF(EXACT(F471,G471),0,1)</f>
        <v>0</v>
      </c>
      <c r="I471" s="10" t="str">
        <f aca="false">IF(ABS(H471)&lt;=0.000001,"PASS","FAIL")</f>
        <v>PASS</v>
      </c>
      <c r="J471" s="10" t="s">
        <v>1687</v>
      </c>
    </row>
    <row r="472" customFormat="false" ht="15" hidden="false" customHeight="false" outlineLevel="0" collapsed="false">
      <c r="A472" s="10" t="s">
        <v>2094</v>
      </c>
      <c r="B472" s="10" t="s">
        <v>1099</v>
      </c>
      <c r="C472" s="10" t="s">
        <v>2095</v>
      </c>
      <c r="D472" s="10" t="s">
        <v>1124</v>
      </c>
      <c r="E472" s="10" t="s">
        <v>288</v>
      </c>
      <c r="F472" s="10" t="str">
        <f aca="false">Guidance_Accuracy!E119</f>
        <v>Non-GAAP operating income (loss)</v>
      </c>
      <c r="G472" s="12" t="s">
        <v>151</v>
      </c>
      <c r="H472" s="10" t="n">
        <f aca="false">IF(EXACT(F472,G472),0,1)</f>
        <v>0</v>
      </c>
      <c r="I472" s="10" t="str">
        <f aca="false">IF(ABS(H472)&lt;=0.000001,"PASS","FAIL")</f>
        <v>PASS</v>
      </c>
      <c r="J472" s="10" t="s">
        <v>1690</v>
      </c>
    </row>
    <row r="473" customFormat="false" ht="15" hidden="false" customHeight="false" outlineLevel="0" collapsed="false">
      <c r="A473" s="10" t="s">
        <v>2096</v>
      </c>
      <c r="B473" s="10" t="s">
        <v>1099</v>
      </c>
      <c r="C473" s="10" t="s">
        <v>2097</v>
      </c>
      <c r="D473" s="10" t="s">
        <v>1124</v>
      </c>
      <c r="E473" s="10" t="s">
        <v>288</v>
      </c>
      <c r="F473" s="14" t="n">
        <f aca="false">Guidance_Accuracy!F119</f>
        <v>154</v>
      </c>
      <c r="G473" s="12" t="n">
        <v>154</v>
      </c>
      <c r="H473" s="10" t="n">
        <f aca="false">F473-G473</f>
        <v>0</v>
      </c>
      <c r="I473" s="10" t="str">
        <f aca="false">IF(ABS(H473)&lt;=0.000001,"PASS","FAIL")</f>
        <v>PASS</v>
      </c>
      <c r="J473" s="10" t="s">
        <v>1693</v>
      </c>
    </row>
    <row r="474" customFormat="false" ht="15" hidden="false" customHeight="false" outlineLevel="0" collapsed="false">
      <c r="A474" s="10" t="s">
        <v>2098</v>
      </c>
      <c r="B474" s="10" t="s">
        <v>1099</v>
      </c>
      <c r="C474" s="10" t="s">
        <v>2099</v>
      </c>
      <c r="D474" s="10" t="s">
        <v>1124</v>
      </c>
      <c r="E474" s="10" t="s">
        <v>288</v>
      </c>
      <c r="F474" s="14" t="n">
        <f aca="false">Guidance_Accuracy!G119</f>
        <v>158</v>
      </c>
      <c r="G474" s="12" t="n">
        <v>158</v>
      </c>
      <c r="H474" s="10" t="n">
        <f aca="false">F474-G474</f>
        <v>0</v>
      </c>
      <c r="I474" s="10" t="str">
        <f aca="false">IF(ABS(H474)&lt;=0.000001,"PASS","FAIL")</f>
        <v>PASS</v>
      </c>
      <c r="J474" s="10" t="s">
        <v>1696</v>
      </c>
    </row>
    <row r="475" customFormat="false" ht="15" hidden="false" customHeight="false" outlineLevel="0" collapsed="false">
      <c r="A475" s="10" t="s">
        <v>2100</v>
      </c>
      <c r="B475" s="10" t="s">
        <v>1100</v>
      </c>
      <c r="C475" s="10" t="s">
        <v>2101</v>
      </c>
      <c r="D475" s="10" t="s">
        <v>1136</v>
      </c>
      <c r="E475" s="10" t="s">
        <v>280</v>
      </c>
      <c r="F475" s="22" t="n">
        <f aca="false">Guidance_Accuracy!I119</f>
        <v>175263</v>
      </c>
      <c r="G475" s="12" t="n">
        <v>175263</v>
      </c>
      <c r="H475" s="10" t="n">
        <f aca="false">F475-G475</f>
        <v>0</v>
      </c>
      <c r="I475" s="10" t="str">
        <f aca="false">IF(ABS(H475)&lt;=0.000001,"PASS","FAIL")</f>
        <v>PASS</v>
      </c>
      <c r="J475" s="10" t="s">
        <v>2039</v>
      </c>
    </row>
    <row r="476" customFormat="false" ht="15" hidden="false" customHeight="false" outlineLevel="0" collapsed="false">
      <c r="A476" s="10" t="s">
        <v>2102</v>
      </c>
      <c r="B476" s="10" t="s">
        <v>1099</v>
      </c>
      <c r="C476" s="10" t="s">
        <v>2103</v>
      </c>
      <c r="D476" s="10" t="s">
        <v>1124</v>
      </c>
      <c r="E476" s="10" t="s">
        <v>289</v>
      </c>
      <c r="F476" s="10" t="str">
        <f aca="false">Guidance_Accuracy!D120</f>
        <v>Q2 2025</v>
      </c>
      <c r="G476" s="12" t="s">
        <v>125</v>
      </c>
      <c r="H476" s="10" t="n">
        <f aca="false">IF(EXACT(F476,G476),0,1)</f>
        <v>0</v>
      </c>
      <c r="I476" s="10" t="str">
        <f aca="false">IF(ABS(H476)&lt;=0.000001,"PASS","FAIL")</f>
        <v>PASS</v>
      </c>
      <c r="J476" s="10" t="s">
        <v>1687</v>
      </c>
    </row>
    <row r="477" customFormat="false" ht="15" hidden="false" customHeight="false" outlineLevel="0" collapsed="false">
      <c r="A477" s="10" t="s">
        <v>2104</v>
      </c>
      <c r="B477" s="10" t="s">
        <v>1099</v>
      </c>
      <c r="C477" s="10" t="s">
        <v>2105</v>
      </c>
      <c r="D477" s="10" t="s">
        <v>1124</v>
      </c>
      <c r="E477" s="10" t="s">
        <v>289</v>
      </c>
      <c r="F477" s="10" t="str">
        <f aca="false">Guidance_Accuracy!E120</f>
        <v>Revenue</v>
      </c>
      <c r="G477" s="12" t="s">
        <v>24</v>
      </c>
      <c r="H477" s="10" t="n">
        <f aca="false">IF(EXACT(F477,G477),0,1)</f>
        <v>0</v>
      </c>
      <c r="I477" s="10" t="str">
        <f aca="false">IF(ABS(H477)&lt;=0.000001,"PASS","FAIL")</f>
        <v>PASS</v>
      </c>
      <c r="J477" s="10" t="s">
        <v>1690</v>
      </c>
    </row>
    <row r="478" customFormat="false" ht="15" hidden="false" customHeight="false" outlineLevel="0" collapsed="false">
      <c r="A478" s="10" t="s">
        <v>2106</v>
      </c>
      <c r="B478" s="10" t="s">
        <v>1099</v>
      </c>
      <c r="C478" s="10" t="s">
        <v>2107</v>
      </c>
      <c r="D478" s="10" t="s">
        <v>1124</v>
      </c>
      <c r="E478" s="10" t="s">
        <v>289</v>
      </c>
      <c r="F478" s="14" t="n">
        <f aca="false">Guidance_Accuracy!F120</f>
        <v>1224</v>
      </c>
      <c r="G478" s="12" t="n">
        <v>1224</v>
      </c>
      <c r="H478" s="10" t="n">
        <f aca="false">F478-G478</f>
        <v>0</v>
      </c>
      <c r="I478" s="10" t="str">
        <f aca="false">IF(ABS(H478)&lt;=0.000001,"PASS","FAIL")</f>
        <v>PASS</v>
      </c>
      <c r="J478" s="10" t="s">
        <v>1693</v>
      </c>
    </row>
    <row r="479" customFormat="false" ht="15" hidden="false" customHeight="false" outlineLevel="0" collapsed="false">
      <c r="A479" s="10" t="s">
        <v>2108</v>
      </c>
      <c r="B479" s="10" t="s">
        <v>1099</v>
      </c>
      <c r="C479" s="10" t="s">
        <v>2109</v>
      </c>
      <c r="D479" s="10" t="s">
        <v>1124</v>
      </c>
      <c r="E479" s="10" t="s">
        <v>289</v>
      </c>
      <c r="F479" s="14" t="n">
        <f aca="false">Guidance_Accuracy!G120</f>
        <v>1229</v>
      </c>
      <c r="G479" s="12" t="n">
        <v>1229</v>
      </c>
      <c r="H479" s="10" t="n">
        <f aca="false">F479-G479</f>
        <v>0</v>
      </c>
      <c r="I479" s="10" t="str">
        <f aca="false">IF(ABS(H479)&lt;=0.000001,"PASS","FAIL")</f>
        <v>PASS</v>
      </c>
      <c r="J479" s="10" t="s">
        <v>1696</v>
      </c>
    </row>
    <row r="480" customFormat="false" ht="15" hidden="false" customHeight="false" outlineLevel="0" collapsed="false">
      <c r="A480" s="10" t="s">
        <v>2110</v>
      </c>
      <c r="B480" s="10" t="s">
        <v>1100</v>
      </c>
      <c r="C480" s="10" t="s">
        <v>2111</v>
      </c>
      <c r="D480" s="10" t="s">
        <v>1136</v>
      </c>
      <c r="E480" s="10" t="s">
        <v>282</v>
      </c>
      <c r="F480" s="22" t="n">
        <f aca="false">Guidance_Accuracy!I120</f>
        <v>1231997</v>
      </c>
      <c r="G480" s="12" t="n">
        <v>1231997</v>
      </c>
      <c r="H480" s="10" t="n">
        <f aca="false">F480-G480</f>
        <v>0</v>
      </c>
      <c r="I480" s="10" t="str">
        <f aca="false">IF(ABS(H480)&lt;=0.000001,"PASS","FAIL")</f>
        <v>PASS</v>
      </c>
      <c r="J480" s="10" t="s">
        <v>2050</v>
      </c>
    </row>
    <row r="481" customFormat="false" ht="15" hidden="false" customHeight="false" outlineLevel="0" collapsed="false">
      <c r="A481" s="10" t="s">
        <v>2112</v>
      </c>
      <c r="B481" s="10" t="s">
        <v>1099</v>
      </c>
      <c r="C481" s="10" t="s">
        <v>2113</v>
      </c>
      <c r="D481" s="10" t="s">
        <v>1124</v>
      </c>
      <c r="E481" s="10" t="s">
        <v>290</v>
      </c>
      <c r="F481" s="10" t="str">
        <f aca="false">Guidance_Accuracy!D121</f>
        <v>Q3 2025</v>
      </c>
      <c r="G481" s="12" t="s">
        <v>129</v>
      </c>
      <c r="H481" s="10" t="n">
        <f aca="false">IF(EXACT(F481,G481),0,1)</f>
        <v>0</v>
      </c>
      <c r="I481" s="10" t="str">
        <f aca="false">IF(ABS(H481)&lt;=0.000001,"PASS","FAIL")</f>
        <v>PASS</v>
      </c>
      <c r="J481" s="10" t="s">
        <v>1687</v>
      </c>
    </row>
    <row r="482" customFormat="false" ht="15" hidden="false" customHeight="false" outlineLevel="0" collapsed="false">
      <c r="A482" s="10" t="s">
        <v>2114</v>
      </c>
      <c r="B482" s="10" t="s">
        <v>1099</v>
      </c>
      <c r="C482" s="10" t="s">
        <v>2115</v>
      </c>
      <c r="D482" s="10" t="s">
        <v>1124</v>
      </c>
      <c r="E482" s="10" t="s">
        <v>290</v>
      </c>
      <c r="F482" s="10" t="str">
        <f aca="false">Guidance_Accuracy!E121</f>
        <v>Adjusted free cash flow</v>
      </c>
      <c r="G482" s="12" t="s">
        <v>284</v>
      </c>
      <c r="H482" s="10" t="n">
        <f aca="false">IF(EXACT(F482,G482),0,1)</f>
        <v>0</v>
      </c>
      <c r="I482" s="10" t="str">
        <f aca="false">IF(ABS(H482)&lt;=0.000001,"PASS","FAIL")</f>
        <v>PASS</v>
      </c>
      <c r="J482" s="10" t="s">
        <v>1690</v>
      </c>
    </row>
    <row r="483" customFormat="false" ht="15" hidden="false" customHeight="false" outlineLevel="0" collapsed="false">
      <c r="A483" s="10" t="s">
        <v>2116</v>
      </c>
      <c r="B483" s="10" t="s">
        <v>1099</v>
      </c>
      <c r="C483" s="10" t="s">
        <v>2117</v>
      </c>
      <c r="D483" s="10" t="s">
        <v>1124</v>
      </c>
      <c r="E483" s="10" t="s">
        <v>290</v>
      </c>
      <c r="F483" s="14" t="n">
        <f aca="false">Guidance_Accuracy!F121</f>
        <v>330</v>
      </c>
      <c r="G483" s="12" t="n">
        <v>330</v>
      </c>
      <c r="H483" s="10" t="n">
        <f aca="false">F483-G483</f>
        <v>0</v>
      </c>
      <c r="I483" s="10" t="str">
        <f aca="false">IF(ABS(H483)&lt;=0.000001,"PASS","FAIL")</f>
        <v>PASS</v>
      </c>
      <c r="J483" s="10" t="s">
        <v>1693</v>
      </c>
    </row>
    <row r="484" customFormat="false" ht="15" hidden="false" customHeight="false" outlineLevel="0" collapsed="false">
      <c r="A484" s="10" t="s">
        <v>2118</v>
      </c>
      <c r="B484" s="10" t="s">
        <v>1099</v>
      </c>
      <c r="C484" s="10" t="s">
        <v>2119</v>
      </c>
      <c r="D484" s="10" t="s">
        <v>1124</v>
      </c>
      <c r="E484" s="10" t="s">
        <v>290</v>
      </c>
      <c r="F484" s="14" t="n">
        <f aca="false">Guidance_Accuracy!G121</f>
        <v>334</v>
      </c>
      <c r="G484" s="12" t="n">
        <v>334</v>
      </c>
      <c r="H484" s="10" t="n">
        <f aca="false">F484-G484</f>
        <v>0</v>
      </c>
      <c r="I484" s="10" t="str">
        <f aca="false">IF(ABS(H484)&lt;=0.000001,"PASS","FAIL")</f>
        <v>PASS</v>
      </c>
      <c r="J484" s="10" t="s">
        <v>1696</v>
      </c>
    </row>
    <row r="485" customFormat="false" ht="15" hidden="false" customHeight="false" outlineLevel="0" collapsed="false">
      <c r="A485" s="10" t="s">
        <v>2120</v>
      </c>
      <c r="B485" s="10" t="s">
        <v>1100</v>
      </c>
      <c r="C485" s="10" t="s">
        <v>2121</v>
      </c>
      <c r="D485" s="10" t="s">
        <v>1136</v>
      </c>
      <c r="E485" s="10" t="s">
        <v>278</v>
      </c>
      <c r="F485" s="22" t="n">
        <f aca="false">Guidance_Accuracy!I121</f>
        <v>322660</v>
      </c>
      <c r="G485" s="12" t="n">
        <v>322660</v>
      </c>
      <c r="H485" s="10" t="n">
        <f aca="false">F485-G485</f>
        <v>0</v>
      </c>
      <c r="I485" s="10" t="str">
        <f aca="false">IF(ABS(H485)&lt;=0.000001,"PASS","FAIL")</f>
        <v>PASS</v>
      </c>
      <c r="J485" s="10" t="s">
        <v>2061</v>
      </c>
    </row>
    <row r="486" customFormat="false" ht="15" hidden="false" customHeight="false" outlineLevel="0" collapsed="false">
      <c r="A486" s="10" t="s">
        <v>2122</v>
      </c>
      <c r="B486" s="10" t="s">
        <v>1099</v>
      </c>
      <c r="C486" s="10" t="s">
        <v>2123</v>
      </c>
      <c r="D486" s="10" t="s">
        <v>1124</v>
      </c>
      <c r="E486" s="10" t="s">
        <v>291</v>
      </c>
      <c r="F486" s="10" t="str">
        <f aca="false">Guidance_Accuracy!D122</f>
        <v>Q3 2025</v>
      </c>
      <c r="G486" s="12" t="s">
        <v>129</v>
      </c>
      <c r="H486" s="10" t="n">
        <f aca="false">IF(EXACT(F486,G486),0,1)</f>
        <v>0</v>
      </c>
      <c r="I486" s="10" t="str">
        <f aca="false">IF(ABS(H486)&lt;=0.000001,"PASS","FAIL")</f>
        <v>PASS</v>
      </c>
      <c r="J486" s="10" t="s">
        <v>1687</v>
      </c>
    </row>
    <row r="487" customFormat="false" ht="15" hidden="false" customHeight="false" outlineLevel="0" collapsed="false">
      <c r="A487" s="10" t="s">
        <v>2124</v>
      </c>
      <c r="B487" s="10" t="s">
        <v>1099</v>
      </c>
      <c r="C487" s="10" t="s">
        <v>2125</v>
      </c>
      <c r="D487" s="10" t="s">
        <v>1124</v>
      </c>
      <c r="E487" s="10" t="s">
        <v>291</v>
      </c>
      <c r="F487" s="10" t="str">
        <f aca="false">Guidance_Accuracy!E122</f>
        <v>Non-GAAP operating income (loss)</v>
      </c>
      <c r="G487" s="12" t="s">
        <v>151</v>
      </c>
      <c r="H487" s="10" t="n">
        <f aca="false">IF(EXACT(F487,G487),0,1)</f>
        <v>0</v>
      </c>
      <c r="I487" s="10" t="str">
        <f aca="false">IF(ABS(H487)&lt;=0.000001,"PASS","FAIL")</f>
        <v>PASS</v>
      </c>
      <c r="J487" s="10" t="s">
        <v>1690</v>
      </c>
    </row>
    <row r="488" customFormat="false" ht="15" hidden="false" customHeight="false" outlineLevel="0" collapsed="false">
      <c r="A488" s="10" t="s">
        <v>2126</v>
      </c>
      <c r="B488" s="10" t="s">
        <v>1099</v>
      </c>
      <c r="C488" s="10" t="s">
        <v>2127</v>
      </c>
      <c r="D488" s="10" t="s">
        <v>1124</v>
      </c>
      <c r="E488" s="10" t="s">
        <v>291</v>
      </c>
      <c r="F488" s="14" t="n">
        <f aca="false">Guidance_Accuracy!F122</f>
        <v>167</v>
      </c>
      <c r="G488" s="12" t="n">
        <v>167</v>
      </c>
      <c r="H488" s="10" t="n">
        <f aca="false">F488-G488</f>
        <v>0</v>
      </c>
      <c r="I488" s="10" t="str">
        <f aca="false">IF(ABS(H488)&lt;=0.000001,"PASS","FAIL")</f>
        <v>PASS</v>
      </c>
      <c r="J488" s="10" t="s">
        <v>1693</v>
      </c>
    </row>
    <row r="489" customFormat="false" ht="15" hidden="false" customHeight="false" outlineLevel="0" collapsed="false">
      <c r="A489" s="10" t="s">
        <v>2128</v>
      </c>
      <c r="B489" s="10" t="s">
        <v>1099</v>
      </c>
      <c r="C489" s="10" t="s">
        <v>2129</v>
      </c>
      <c r="D489" s="10" t="s">
        <v>1124</v>
      </c>
      <c r="E489" s="10" t="s">
        <v>291</v>
      </c>
      <c r="F489" s="14" t="n">
        <f aca="false">Guidance_Accuracy!G122</f>
        <v>169</v>
      </c>
      <c r="G489" s="12" t="n">
        <v>169</v>
      </c>
      <c r="H489" s="10" t="n">
        <f aca="false">F489-G489</f>
        <v>0</v>
      </c>
      <c r="I489" s="10" t="str">
        <f aca="false">IF(ABS(H489)&lt;=0.000001,"PASS","FAIL")</f>
        <v>PASS</v>
      </c>
      <c r="J489" s="10" t="s">
        <v>1696</v>
      </c>
    </row>
    <row r="490" customFormat="false" ht="15" hidden="false" customHeight="false" outlineLevel="0" collapsed="false">
      <c r="A490" s="10" t="s">
        <v>2130</v>
      </c>
      <c r="B490" s="10" t="s">
        <v>1100</v>
      </c>
      <c r="C490" s="10" t="s">
        <v>2131</v>
      </c>
      <c r="D490" s="10" t="s">
        <v>1136</v>
      </c>
      <c r="E490" s="10" t="s">
        <v>280</v>
      </c>
      <c r="F490" s="22" t="n">
        <f aca="false">Guidance_Accuracy!I122</f>
        <v>175263</v>
      </c>
      <c r="G490" s="12" t="n">
        <v>175263</v>
      </c>
      <c r="H490" s="10" t="n">
        <f aca="false">F490-G490</f>
        <v>0</v>
      </c>
      <c r="I490" s="10" t="str">
        <f aca="false">IF(ABS(H490)&lt;=0.000001,"PASS","FAIL")</f>
        <v>PASS</v>
      </c>
      <c r="J490" s="10" t="s">
        <v>2039</v>
      </c>
    </row>
    <row r="491" customFormat="false" ht="15" hidden="false" customHeight="false" outlineLevel="0" collapsed="false">
      <c r="A491" s="10" t="s">
        <v>2132</v>
      </c>
      <c r="B491" s="10" t="s">
        <v>1099</v>
      </c>
      <c r="C491" s="10" t="s">
        <v>2133</v>
      </c>
      <c r="D491" s="10" t="s">
        <v>1124</v>
      </c>
      <c r="E491" s="10" t="s">
        <v>292</v>
      </c>
      <c r="F491" s="10" t="str">
        <f aca="false">Guidance_Accuracy!D123</f>
        <v>Q3 2025</v>
      </c>
      <c r="G491" s="12" t="s">
        <v>129</v>
      </c>
      <c r="H491" s="10" t="n">
        <f aca="false">IF(EXACT(F491,G491),0,1)</f>
        <v>0</v>
      </c>
      <c r="I491" s="10" t="str">
        <f aca="false">IF(ABS(H491)&lt;=0.000001,"PASS","FAIL")</f>
        <v>PASS</v>
      </c>
      <c r="J491" s="10" t="s">
        <v>1687</v>
      </c>
    </row>
    <row r="492" customFormat="false" ht="15" hidden="false" customHeight="false" outlineLevel="0" collapsed="false">
      <c r="A492" s="10" t="s">
        <v>2134</v>
      </c>
      <c r="B492" s="10" t="s">
        <v>1099</v>
      </c>
      <c r="C492" s="10" t="s">
        <v>2135</v>
      </c>
      <c r="D492" s="10" t="s">
        <v>1124</v>
      </c>
      <c r="E492" s="10" t="s">
        <v>292</v>
      </c>
      <c r="F492" s="10" t="str">
        <f aca="false">Guidance_Accuracy!E123</f>
        <v>Revenue</v>
      </c>
      <c r="G492" s="12" t="s">
        <v>24</v>
      </c>
      <c r="H492" s="10" t="n">
        <f aca="false">IF(EXACT(F492,G492),0,1)</f>
        <v>0</v>
      </c>
      <c r="I492" s="10" t="str">
        <f aca="false">IF(ABS(H492)&lt;=0.000001,"PASS","FAIL")</f>
        <v>PASS</v>
      </c>
      <c r="J492" s="10" t="s">
        <v>1690</v>
      </c>
    </row>
    <row r="493" customFormat="false" ht="15" hidden="false" customHeight="false" outlineLevel="0" collapsed="false">
      <c r="A493" s="10" t="s">
        <v>2136</v>
      </c>
      <c r="B493" s="10" t="s">
        <v>1099</v>
      </c>
      <c r="C493" s="10" t="s">
        <v>2137</v>
      </c>
      <c r="D493" s="10" t="s">
        <v>1124</v>
      </c>
      <c r="E493" s="10" t="s">
        <v>292</v>
      </c>
      <c r="F493" s="14" t="n">
        <f aca="false">Guidance_Accuracy!F123</f>
        <v>1226</v>
      </c>
      <c r="G493" s="12" t="n">
        <v>1226</v>
      </c>
      <c r="H493" s="10" t="n">
        <f aca="false">F493-G493</f>
        <v>0</v>
      </c>
      <c r="I493" s="10" t="str">
        <f aca="false">IF(ABS(H493)&lt;=0.000001,"PASS","FAIL")</f>
        <v>PASS</v>
      </c>
      <c r="J493" s="10" t="s">
        <v>1693</v>
      </c>
    </row>
    <row r="494" customFormat="false" ht="15" hidden="false" customHeight="false" outlineLevel="0" collapsed="false">
      <c r="A494" s="10" t="s">
        <v>2138</v>
      </c>
      <c r="B494" s="10" t="s">
        <v>1099</v>
      </c>
      <c r="C494" s="10" t="s">
        <v>2139</v>
      </c>
      <c r="D494" s="10" t="s">
        <v>1124</v>
      </c>
      <c r="E494" s="10" t="s">
        <v>292</v>
      </c>
      <c r="F494" s="14" t="n">
        <f aca="false">Guidance_Accuracy!G123</f>
        <v>1228</v>
      </c>
      <c r="G494" s="12" t="n">
        <v>1228</v>
      </c>
      <c r="H494" s="10" t="n">
        <f aca="false">F494-G494</f>
        <v>0</v>
      </c>
      <c r="I494" s="10" t="str">
        <f aca="false">IF(ABS(H494)&lt;=0.000001,"PASS","FAIL")</f>
        <v>PASS</v>
      </c>
      <c r="J494" s="10" t="s">
        <v>1696</v>
      </c>
    </row>
    <row r="495" customFormat="false" ht="15" hidden="false" customHeight="false" outlineLevel="0" collapsed="false">
      <c r="A495" s="10" t="s">
        <v>2140</v>
      </c>
      <c r="B495" s="10" t="s">
        <v>1100</v>
      </c>
      <c r="C495" s="10" t="s">
        <v>2141</v>
      </c>
      <c r="D495" s="10" t="s">
        <v>1136</v>
      </c>
      <c r="E495" s="10" t="s">
        <v>282</v>
      </c>
      <c r="F495" s="22" t="n">
        <f aca="false">Guidance_Accuracy!I123</f>
        <v>1231997</v>
      </c>
      <c r="G495" s="12" t="n">
        <v>1231997</v>
      </c>
      <c r="H495" s="10" t="n">
        <f aca="false">F495-G495</f>
        <v>0</v>
      </c>
      <c r="I495" s="10" t="str">
        <f aca="false">IF(ABS(H495)&lt;=0.000001,"PASS","FAIL")</f>
        <v>PASS</v>
      </c>
      <c r="J495" s="10" t="s">
        <v>2050</v>
      </c>
    </row>
    <row r="496" customFormat="false" ht="15" hidden="false" customHeight="false" outlineLevel="0" collapsed="false">
      <c r="A496" s="10" t="s">
        <v>2142</v>
      </c>
      <c r="B496" s="10" t="s">
        <v>1099</v>
      </c>
      <c r="C496" s="10" t="s">
        <v>2143</v>
      </c>
      <c r="D496" s="10" t="s">
        <v>1124</v>
      </c>
      <c r="E496" s="10" t="s">
        <v>299</v>
      </c>
      <c r="F496" s="24" t="n">
        <f aca="false">Guidance_Accuracy!B129</f>
        <v>46062</v>
      </c>
      <c r="G496" s="11" t="n">
        <v>46062</v>
      </c>
      <c r="H496" s="10" t="n">
        <f aca="false">F496-G496</f>
        <v>0</v>
      </c>
      <c r="I496" s="10" t="str">
        <f aca="false">IF(ABS(H496)&lt;=0.000001,"PASS","FAIL")</f>
        <v>PASS</v>
      </c>
      <c r="J496" s="10" t="s">
        <v>2144</v>
      </c>
    </row>
    <row r="497" customFormat="false" ht="15" hidden="false" customHeight="false" outlineLevel="0" collapsed="false">
      <c r="A497" s="10" t="s">
        <v>2145</v>
      </c>
      <c r="B497" s="10" t="s">
        <v>1099</v>
      </c>
      <c r="C497" s="10" t="s">
        <v>2146</v>
      </c>
      <c r="D497" s="10" t="s">
        <v>1124</v>
      </c>
      <c r="E497" s="10" t="s">
        <v>299</v>
      </c>
      <c r="F497" s="10" t="str">
        <f aca="false">Guidance_Accuracy!C129</f>
        <v>Q4 2025</v>
      </c>
      <c r="G497" s="12" t="s">
        <v>133</v>
      </c>
      <c r="H497" s="10" t="n">
        <f aca="false">IF(EXACT(F497,G497),0,1)</f>
        <v>0</v>
      </c>
      <c r="I497" s="10" t="str">
        <f aca="false">IF(ABS(H497)&lt;=0.000001,"PASS","FAIL")</f>
        <v>PASS</v>
      </c>
      <c r="J497" s="10" t="s">
        <v>2144</v>
      </c>
    </row>
    <row r="498" customFormat="false" ht="15" hidden="false" customHeight="false" outlineLevel="0" collapsed="false">
      <c r="A498" s="10" t="s">
        <v>2147</v>
      </c>
      <c r="B498" s="10" t="s">
        <v>1099</v>
      </c>
      <c r="C498" s="10" t="s">
        <v>2148</v>
      </c>
      <c r="D498" s="10" t="s">
        <v>1124</v>
      </c>
      <c r="E498" s="10" t="s">
        <v>299</v>
      </c>
      <c r="F498" s="10" t="str">
        <f aca="false">Guidance_Accuracy!D129</f>
        <v>FY 2026</v>
      </c>
      <c r="G498" s="12" t="s">
        <v>300</v>
      </c>
      <c r="H498" s="10" t="n">
        <f aca="false">IF(EXACT(F498,G498),0,1)</f>
        <v>0</v>
      </c>
      <c r="I498" s="10" t="str">
        <f aca="false">IF(ABS(H498)&lt;=0.000001,"PASS","FAIL")</f>
        <v>PASS</v>
      </c>
      <c r="J498" s="10" t="s">
        <v>2144</v>
      </c>
    </row>
    <row r="499" customFormat="false" ht="15" hidden="false" customHeight="false" outlineLevel="0" collapsed="false">
      <c r="A499" s="10" t="s">
        <v>2149</v>
      </c>
      <c r="B499" s="10" t="s">
        <v>1099</v>
      </c>
      <c r="C499" s="10" t="s">
        <v>2150</v>
      </c>
      <c r="D499" s="10" t="s">
        <v>1124</v>
      </c>
      <c r="E499" s="10" t="s">
        <v>299</v>
      </c>
      <c r="F499" s="10" t="str">
        <f aca="false">Guidance_Accuracy!E129</f>
        <v>Adjusted free cash flow</v>
      </c>
      <c r="G499" s="12" t="s">
        <v>284</v>
      </c>
      <c r="H499" s="10" t="n">
        <f aca="false">IF(EXACT(F499,G499),0,1)</f>
        <v>0</v>
      </c>
      <c r="I499" s="10" t="str">
        <f aca="false">IF(ABS(H499)&lt;=0.000001,"PASS","FAIL")</f>
        <v>PASS</v>
      </c>
      <c r="J499" s="10" t="s">
        <v>2144</v>
      </c>
    </row>
    <row r="500" customFormat="false" ht="15" hidden="false" customHeight="false" outlineLevel="0" collapsed="false">
      <c r="A500" s="10" t="s">
        <v>2151</v>
      </c>
      <c r="B500" s="10" t="s">
        <v>1099</v>
      </c>
      <c r="C500" s="10" t="s">
        <v>2152</v>
      </c>
      <c r="D500" s="10" t="s">
        <v>1124</v>
      </c>
      <c r="E500" s="10" t="s">
        <v>299</v>
      </c>
      <c r="F500" s="10" t="str">
        <f aca="false">Guidance_Accuracy!H129</f>
        <v>USD millions</v>
      </c>
      <c r="G500" s="12" t="s">
        <v>301</v>
      </c>
      <c r="H500" s="10" t="n">
        <f aca="false">IF(EXACT(F500,G500),0,1)</f>
        <v>0</v>
      </c>
      <c r="I500" s="10" t="str">
        <f aca="false">IF(ABS(H500)&lt;=0.000001,"PASS","FAIL")</f>
        <v>PASS</v>
      </c>
      <c r="J500" s="10" t="s">
        <v>2144</v>
      </c>
    </row>
    <row r="501" customFormat="false" ht="15" hidden="false" customHeight="false" outlineLevel="0" collapsed="false">
      <c r="A501" s="10" t="s">
        <v>2153</v>
      </c>
      <c r="B501" s="10" t="s">
        <v>1099</v>
      </c>
      <c r="C501" s="10" t="s">
        <v>2154</v>
      </c>
      <c r="D501" s="10" t="s">
        <v>1124</v>
      </c>
      <c r="E501" s="10" t="s">
        <v>299</v>
      </c>
      <c r="F501" s="14" t="n">
        <f aca="false">Guidance_Accuracy!F129</f>
        <v>275</v>
      </c>
      <c r="G501" s="12" t="n">
        <v>275</v>
      </c>
      <c r="H501" s="10" t="n">
        <f aca="false">F501-G501</f>
        <v>0</v>
      </c>
      <c r="I501" s="10" t="str">
        <f aca="false">IF(ABS(H501)&lt;=0.000001,"PASS","FAIL")</f>
        <v>PASS</v>
      </c>
      <c r="J501" s="10" t="s">
        <v>2155</v>
      </c>
    </row>
    <row r="502" customFormat="false" ht="15" hidden="false" customHeight="false" outlineLevel="0" collapsed="false">
      <c r="A502" s="10" t="s">
        <v>2156</v>
      </c>
      <c r="B502" s="10" t="s">
        <v>1099</v>
      </c>
      <c r="C502" s="10" t="s">
        <v>2157</v>
      </c>
      <c r="D502" s="10" t="s">
        <v>1124</v>
      </c>
      <c r="E502" s="10" t="s">
        <v>299</v>
      </c>
      <c r="F502" s="14" t="n">
        <f aca="false">Guidance_Accuracy!G129</f>
        <v>290</v>
      </c>
      <c r="G502" s="12" t="n">
        <v>290</v>
      </c>
      <c r="H502" s="10" t="n">
        <f aca="false">F502-G502</f>
        <v>0</v>
      </c>
      <c r="I502" s="10" t="str">
        <f aca="false">IF(ABS(H502)&lt;=0.000001,"PASS","FAIL")</f>
        <v>PASS</v>
      </c>
      <c r="J502" s="10" t="s">
        <v>2158</v>
      </c>
    </row>
    <row r="503" customFormat="false" ht="15" hidden="false" customHeight="false" outlineLevel="0" collapsed="false">
      <c r="A503" s="10" t="s">
        <v>2159</v>
      </c>
      <c r="B503" s="10" t="s">
        <v>1099</v>
      </c>
      <c r="C503" s="10" t="s">
        <v>2160</v>
      </c>
      <c r="D503" s="10" t="s">
        <v>1124</v>
      </c>
      <c r="E503" s="10" t="s">
        <v>302</v>
      </c>
      <c r="F503" s="24" t="n">
        <f aca="false">Guidance_Accuracy!B130</f>
        <v>46062</v>
      </c>
      <c r="G503" s="11" t="n">
        <v>46062</v>
      </c>
      <c r="H503" s="10" t="n">
        <f aca="false">F503-G503</f>
        <v>0</v>
      </c>
      <c r="I503" s="10" t="str">
        <f aca="false">IF(ABS(H503)&lt;=0.000001,"PASS","FAIL")</f>
        <v>PASS</v>
      </c>
      <c r="J503" s="10" t="s">
        <v>2144</v>
      </c>
    </row>
    <row r="504" customFormat="false" ht="15" hidden="false" customHeight="false" outlineLevel="0" collapsed="false">
      <c r="A504" s="10" t="s">
        <v>2161</v>
      </c>
      <c r="B504" s="10" t="s">
        <v>1099</v>
      </c>
      <c r="C504" s="10" t="s">
        <v>2162</v>
      </c>
      <c r="D504" s="10" t="s">
        <v>1124</v>
      </c>
      <c r="E504" s="10" t="s">
        <v>302</v>
      </c>
      <c r="F504" s="10" t="str">
        <f aca="false">Guidance_Accuracy!C130</f>
        <v>Q4 2025</v>
      </c>
      <c r="G504" s="12" t="s">
        <v>133</v>
      </c>
      <c r="H504" s="10" t="n">
        <f aca="false">IF(EXACT(F504,G504),0,1)</f>
        <v>0</v>
      </c>
      <c r="I504" s="10" t="str">
        <f aca="false">IF(ABS(H504)&lt;=0.000001,"PASS","FAIL")</f>
        <v>PASS</v>
      </c>
      <c r="J504" s="10" t="s">
        <v>2144</v>
      </c>
    </row>
    <row r="505" customFormat="false" ht="15" hidden="false" customHeight="false" outlineLevel="0" collapsed="false">
      <c r="A505" s="10" t="s">
        <v>2163</v>
      </c>
      <c r="B505" s="10" t="s">
        <v>1099</v>
      </c>
      <c r="C505" s="10" t="s">
        <v>2164</v>
      </c>
      <c r="D505" s="10" t="s">
        <v>1124</v>
      </c>
      <c r="E505" s="10" t="s">
        <v>302</v>
      </c>
      <c r="F505" s="10" t="str">
        <f aca="false">Guidance_Accuracy!D130</f>
        <v>FY 2026</v>
      </c>
      <c r="G505" s="12" t="s">
        <v>300</v>
      </c>
      <c r="H505" s="10" t="n">
        <f aca="false">IF(EXACT(F505,G505),0,1)</f>
        <v>0</v>
      </c>
      <c r="I505" s="10" t="str">
        <f aca="false">IF(ABS(H505)&lt;=0.000001,"PASS","FAIL")</f>
        <v>PASS</v>
      </c>
      <c r="J505" s="10" t="s">
        <v>2144</v>
      </c>
    </row>
    <row r="506" customFormat="false" ht="15" hidden="false" customHeight="false" outlineLevel="0" collapsed="false">
      <c r="A506" s="10" t="s">
        <v>2165</v>
      </c>
      <c r="B506" s="10" t="s">
        <v>1099</v>
      </c>
      <c r="C506" s="10" t="s">
        <v>2166</v>
      </c>
      <c r="D506" s="10" t="s">
        <v>1124</v>
      </c>
      <c r="E506" s="10" t="s">
        <v>302</v>
      </c>
      <c r="F506" s="10" t="str">
        <f aca="false">Guidance_Accuracy!E130</f>
        <v>Non-GAAP operating income (loss)</v>
      </c>
      <c r="G506" s="12" t="s">
        <v>151</v>
      </c>
      <c r="H506" s="10" t="n">
        <f aca="false">IF(EXACT(F506,G506),0,1)</f>
        <v>0</v>
      </c>
      <c r="I506" s="10" t="str">
        <f aca="false">IF(ABS(H506)&lt;=0.000001,"PASS","FAIL")</f>
        <v>PASS</v>
      </c>
      <c r="J506" s="10" t="s">
        <v>2144</v>
      </c>
    </row>
    <row r="507" customFormat="false" ht="15" hidden="false" customHeight="false" outlineLevel="0" collapsed="false">
      <c r="A507" s="10" t="s">
        <v>2167</v>
      </c>
      <c r="B507" s="10" t="s">
        <v>1099</v>
      </c>
      <c r="C507" s="10" t="s">
        <v>2168</v>
      </c>
      <c r="D507" s="10" t="s">
        <v>1124</v>
      </c>
      <c r="E507" s="10" t="s">
        <v>302</v>
      </c>
      <c r="F507" s="10" t="str">
        <f aca="false">Guidance_Accuracy!H130</f>
        <v>USD millions</v>
      </c>
      <c r="G507" s="12" t="s">
        <v>301</v>
      </c>
      <c r="H507" s="10" t="n">
        <f aca="false">IF(EXACT(F507,G507),0,1)</f>
        <v>0</v>
      </c>
      <c r="I507" s="10" t="str">
        <f aca="false">IF(ABS(H507)&lt;=0.000001,"PASS","FAIL")</f>
        <v>PASS</v>
      </c>
      <c r="J507" s="10" t="s">
        <v>2144</v>
      </c>
    </row>
    <row r="508" customFormat="false" ht="15" hidden="false" customHeight="false" outlineLevel="0" collapsed="false">
      <c r="A508" s="10" t="s">
        <v>2169</v>
      </c>
      <c r="B508" s="10" t="s">
        <v>1099</v>
      </c>
      <c r="C508" s="10" t="s">
        <v>2170</v>
      </c>
      <c r="D508" s="10" t="s">
        <v>1124</v>
      </c>
      <c r="E508" s="10" t="s">
        <v>302</v>
      </c>
      <c r="F508" s="14" t="n">
        <f aca="false">Guidance_Accuracy!F130</f>
        <v>165</v>
      </c>
      <c r="G508" s="12" t="n">
        <v>165</v>
      </c>
      <c r="H508" s="10" t="n">
        <f aca="false">F508-G508</f>
        <v>0</v>
      </c>
      <c r="I508" s="10" t="str">
        <f aca="false">IF(ABS(H508)&lt;=0.000001,"PASS","FAIL")</f>
        <v>PASS</v>
      </c>
      <c r="J508" s="10" t="s">
        <v>2155</v>
      </c>
    </row>
    <row r="509" customFormat="false" ht="15" hidden="false" customHeight="false" outlineLevel="0" collapsed="false">
      <c r="A509" s="10" t="s">
        <v>2171</v>
      </c>
      <c r="B509" s="10" t="s">
        <v>1099</v>
      </c>
      <c r="C509" s="10" t="s">
        <v>2172</v>
      </c>
      <c r="D509" s="10" t="s">
        <v>1124</v>
      </c>
      <c r="E509" s="10" t="s">
        <v>302</v>
      </c>
      <c r="F509" s="14" t="n">
        <f aca="false">Guidance_Accuracy!G130</f>
        <v>175</v>
      </c>
      <c r="G509" s="12" t="n">
        <v>175</v>
      </c>
      <c r="H509" s="10" t="n">
        <f aca="false">F509-G509</f>
        <v>0</v>
      </c>
      <c r="I509" s="10" t="str">
        <f aca="false">IF(ABS(H509)&lt;=0.000001,"PASS","FAIL")</f>
        <v>PASS</v>
      </c>
      <c r="J509" s="10" t="s">
        <v>2158</v>
      </c>
    </row>
    <row r="510" customFormat="false" ht="15" hidden="false" customHeight="false" outlineLevel="0" collapsed="false">
      <c r="A510" s="10" t="s">
        <v>2173</v>
      </c>
      <c r="B510" s="10" t="s">
        <v>1099</v>
      </c>
      <c r="C510" s="10" t="s">
        <v>2174</v>
      </c>
      <c r="D510" s="10" t="s">
        <v>1124</v>
      </c>
      <c r="E510" s="10" t="s">
        <v>303</v>
      </c>
      <c r="F510" s="24" t="n">
        <f aca="false">Guidance_Accuracy!B131</f>
        <v>46062</v>
      </c>
      <c r="G510" s="11" t="n">
        <v>46062</v>
      </c>
      <c r="H510" s="10" t="n">
        <f aca="false">F510-G510</f>
        <v>0</v>
      </c>
      <c r="I510" s="10" t="str">
        <f aca="false">IF(ABS(H510)&lt;=0.000001,"PASS","FAIL")</f>
        <v>PASS</v>
      </c>
      <c r="J510" s="10" t="s">
        <v>2144</v>
      </c>
    </row>
    <row r="511" customFormat="false" ht="15" hidden="false" customHeight="false" outlineLevel="0" collapsed="false">
      <c r="A511" s="10" t="s">
        <v>2175</v>
      </c>
      <c r="B511" s="10" t="s">
        <v>1099</v>
      </c>
      <c r="C511" s="10" t="s">
        <v>2176</v>
      </c>
      <c r="D511" s="10" t="s">
        <v>1124</v>
      </c>
      <c r="E511" s="10" t="s">
        <v>303</v>
      </c>
      <c r="F511" s="10" t="str">
        <f aca="false">Guidance_Accuracy!C131</f>
        <v>Q4 2025</v>
      </c>
      <c r="G511" s="12" t="s">
        <v>133</v>
      </c>
      <c r="H511" s="10" t="n">
        <f aca="false">IF(EXACT(F511,G511),0,1)</f>
        <v>0</v>
      </c>
      <c r="I511" s="10" t="str">
        <f aca="false">IF(ABS(H511)&lt;=0.000001,"PASS","FAIL")</f>
        <v>PASS</v>
      </c>
      <c r="J511" s="10" t="s">
        <v>2144</v>
      </c>
    </row>
    <row r="512" customFormat="false" ht="15" hidden="false" customHeight="false" outlineLevel="0" collapsed="false">
      <c r="A512" s="10" t="s">
        <v>2177</v>
      </c>
      <c r="B512" s="10" t="s">
        <v>1099</v>
      </c>
      <c r="C512" s="10" t="s">
        <v>2178</v>
      </c>
      <c r="D512" s="10" t="s">
        <v>1124</v>
      </c>
      <c r="E512" s="10" t="s">
        <v>303</v>
      </c>
      <c r="F512" s="10" t="str">
        <f aca="false">Guidance_Accuracy!D131</f>
        <v>FY 2026</v>
      </c>
      <c r="G512" s="12" t="s">
        <v>300</v>
      </c>
      <c r="H512" s="10" t="n">
        <f aca="false">IF(EXACT(F512,G512),0,1)</f>
        <v>0</v>
      </c>
      <c r="I512" s="10" t="str">
        <f aca="false">IF(ABS(H512)&lt;=0.000001,"PASS","FAIL")</f>
        <v>PASS</v>
      </c>
      <c r="J512" s="10" t="s">
        <v>2144</v>
      </c>
    </row>
    <row r="513" customFormat="false" ht="15" hidden="false" customHeight="false" outlineLevel="0" collapsed="false">
      <c r="A513" s="10" t="s">
        <v>2179</v>
      </c>
      <c r="B513" s="10" t="s">
        <v>1099</v>
      </c>
      <c r="C513" s="10" t="s">
        <v>2180</v>
      </c>
      <c r="D513" s="10" t="s">
        <v>1124</v>
      </c>
      <c r="E513" s="10" t="s">
        <v>303</v>
      </c>
      <c r="F513" s="10" t="str">
        <f aca="false">Guidance_Accuracy!E131</f>
        <v>Revenue</v>
      </c>
      <c r="G513" s="12" t="s">
        <v>24</v>
      </c>
      <c r="H513" s="10" t="n">
        <f aca="false">IF(EXACT(F513,G513),0,1)</f>
        <v>0</v>
      </c>
      <c r="I513" s="10" t="str">
        <f aca="false">IF(ABS(H513)&lt;=0.000001,"PASS","FAIL")</f>
        <v>PASS</v>
      </c>
      <c r="J513" s="10" t="s">
        <v>2144</v>
      </c>
    </row>
    <row r="514" customFormat="false" ht="15" hidden="false" customHeight="false" outlineLevel="0" collapsed="false">
      <c r="A514" s="10" t="s">
        <v>2181</v>
      </c>
      <c r="B514" s="10" t="s">
        <v>1099</v>
      </c>
      <c r="C514" s="10" t="s">
        <v>2182</v>
      </c>
      <c r="D514" s="10" t="s">
        <v>1124</v>
      </c>
      <c r="E514" s="10" t="s">
        <v>303</v>
      </c>
      <c r="F514" s="10" t="str">
        <f aca="false">Guidance_Accuracy!H131</f>
        <v>USD millions</v>
      </c>
      <c r="G514" s="12" t="s">
        <v>301</v>
      </c>
      <c r="H514" s="10" t="n">
        <f aca="false">IF(EXACT(F514,G514),0,1)</f>
        <v>0</v>
      </c>
      <c r="I514" s="10" t="str">
        <f aca="false">IF(ABS(H514)&lt;=0.000001,"PASS","FAIL")</f>
        <v>PASS</v>
      </c>
      <c r="J514" s="10" t="s">
        <v>2144</v>
      </c>
    </row>
    <row r="515" customFormat="false" ht="15" hidden="false" customHeight="false" outlineLevel="0" collapsed="false">
      <c r="A515" s="10" t="s">
        <v>2183</v>
      </c>
      <c r="B515" s="10" t="s">
        <v>1099</v>
      </c>
      <c r="C515" s="10" t="s">
        <v>2184</v>
      </c>
      <c r="D515" s="10" t="s">
        <v>1124</v>
      </c>
      <c r="E515" s="10" t="s">
        <v>303</v>
      </c>
      <c r="F515" s="14" t="n">
        <f aca="false">Guidance_Accuracy!F131</f>
        <v>1452</v>
      </c>
      <c r="G515" s="12" t="n">
        <v>1452</v>
      </c>
      <c r="H515" s="10" t="n">
        <f aca="false">F515-G515</f>
        <v>0</v>
      </c>
      <c r="I515" s="10" t="str">
        <f aca="false">IF(ABS(H515)&lt;=0.000001,"PASS","FAIL")</f>
        <v>PASS</v>
      </c>
      <c r="J515" s="10" t="s">
        <v>2155</v>
      </c>
    </row>
    <row r="516" customFormat="false" ht="15" hidden="false" customHeight="false" outlineLevel="0" collapsed="false">
      <c r="A516" s="10" t="s">
        <v>2185</v>
      </c>
      <c r="B516" s="10" t="s">
        <v>1099</v>
      </c>
      <c r="C516" s="10" t="s">
        <v>2186</v>
      </c>
      <c r="D516" s="10" t="s">
        <v>1124</v>
      </c>
      <c r="E516" s="10" t="s">
        <v>303</v>
      </c>
      <c r="F516" s="14" t="n">
        <f aca="false">Guidance_Accuracy!G131</f>
        <v>1462</v>
      </c>
      <c r="G516" s="12" t="n">
        <v>1462</v>
      </c>
      <c r="H516" s="10" t="n">
        <f aca="false">F516-G516</f>
        <v>0</v>
      </c>
      <c r="I516" s="10" t="str">
        <f aca="false">IF(ABS(H516)&lt;=0.000001,"PASS","FAIL")</f>
        <v>PASS</v>
      </c>
      <c r="J516" s="10" t="s">
        <v>2158</v>
      </c>
    </row>
    <row r="517" customFormat="false" ht="15" hidden="false" customHeight="false" outlineLevel="0" collapsed="false">
      <c r="A517" s="10" t="s">
        <v>2187</v>
      </c>
      <c r="B517" s="10" t="s">
        <v>1099</v>
      </c>
      <c r="C517" s="10" t="s">
        <v>2188</v>
      </c>
      <c r="D517" s="10" t="s">
        <v>1124</v>
      </c>
      <c r="E517" s="10" t="s">
        <v>189</v>
      </c>
      <c r="F517" s="24" t="n">
        <f aca="false">Guidance_Accuracy!B132</f>
        <v>46062</v>
      </c>
      <c r="G517" s="11" t="n">
        <v>46062</v>
      </c>
      <c r="H517" s="10" t="n">
        <f aca="false">F517-G517</f>
        <v>0</v>
      </c>
      <c r="I517" s="10" t="str">
        <f aca="false">IF(ABS(H517)&lt;=0.000001,"PASS","FAIL")</f>
        <v>PASS</v>
      </c>
      <c r="J517" s="10" t="s">
        <v>2144</v>
      </c>
    </row>
    <row r="518" customFormat="false" ht="15" hidden="false" customHeight="false" outlineLevel="0" collapsed="false">
      <c r="A518" s="10" t="s">
        <v>2189</v>
      </c>
      <c r="B518" s="10" t="s">
        <v>1099</v>
      </c>
      <c r="C518" s="10" t="s">
        <v>2190</v>
      </c>
      <c r="D518" s="10" t="s">
        <v>1124</v>
      </c>
      <c r="E518" s="10" t="s">
        <v>189</v>
      </c>
      <c r="F518" s="10" t="str">
        <f aca="false">Guidance_Accuracy!C132</f>
        <v>Q4 2025</v>
      </c>
      <c r="G518" s="12" t="s">
        <v>133</v>
      </c>
      <c r="H518" s="10" t="n">
        <f aca="false">IF(EXACT(F518,G518),0,1)</f>
        <v>0</v>
      </c>
      <c r="I518" s="10" t="str">
        <f aca="false">IF(ABS(H518)&lt;=0.000001,"PASS","FAIL")</f>
        <v>PASS</v>
      </c>
      <c r="J518" s="10" t="s">
        <v>2144</v>
      </c>
    </row>
    <row r="519" customFormat="false" ht="15" hidden="false" customHeight="false" outlineLevel="0" collapsed="false">
      <c r="A519" s="10" t="s">
        <v>2191</v>
      </c>
      <c r="B519" s="10" t="s">
        <v>1099</v>
      </c>
      <c r="C519" s="10" t="s">
        <v>2192</v>
      </c>
      <c r="D519" s="10" t="s">
        <v>1124</v>
      </c>
      <c r="E519" s="10" t="s">
        <v>189</v>
      </c>
      <c r="F519" s="10" t="str">
        <f aca="false">Guidance_Accuracy!D132</f>
        <v>Q1 2026</v>
      </c>
      <c r="G519" s="12" t="s">
        <v>138</v>
      </c>
      <c r="H519" s="10" t="n">
        <f aca="false">IF(EXACT(F519,G519),0,1)</f>
        <v>0</v>
      </c>
      <c r="I519" s="10" t="str">
        <f aca="false">IF(ABS(H519)&lt;=0.000001,"PASS","FAIL")</f>
        <v>PASS</v>
      </c>
      <c r="J519" s="10" t="s">
        <v>2144</v>
      </c>
    </row>
    <row r="520" customFormat="false" ht="15" hidden="false" customHeight="false" outlineLevel="0" collapsed="false">
      <c r="A520" s="10" t="s">
        <v>2193</v>
      </c>
      <c r="B520" s="10" t="s">
        <v>1099</v>
      </c>
      <c r="C520" s="10" t="s">
        <v>2194</v>
      </c>
      <c r="D520" s="10" t="s">
        <v>1124</v>
      </c>
      <c r="E520" s="10" t="s">
        <v>189</v>
      </c>
      <c r="F520" s="10" t="str">
        <f aca="false">Guidance_Accuracy!E132</f>
        <v>Non-GAAP operating income (loss)</v>
      </c>
      <c r="G520" s="12" t="s">
        <v>151</v>
      </c>
      <c r="H520" s="10" t="n">
        <f aca="false">IF(EXACT(F520,G520),0,1)</f>
        <v>0</v>
      </c>
      <c r="I520" s="10" t="str">
        <f aca="false">IF(ABS(H520)&lt;=0.000001,"PASS","FAIL")</f>
        <v>PASS</v>
      </c>
      <c r="J520" s="10" t="s">
        <v>2144</v>
      </c>
    </row>
    <row r="521" customFormat="false" ht="15" hidden="false" customHeight="false" outlineLevel="0" collapsed="false">
      <c r="A521" s="10" t="s">
        <v>2195</v>
      </c>
      <c r="B521" s="10" t="s">
        <v>1099</v>
      </c>
      <c r="C521" s="10" t="s">
        <v>2196</v>
      </c>
      <c r="D521" s="10" t="s">
        <v>1124</v>
      </c>
      <c r="E521" s="10" t="s">
        <v>189</v>
      </c>
      <c r="F521" s="10" t="str">
        <f aca="false">Guidance_Accuracy!H132</f>
        <v>USD millions</v>
      </c>
      <c r="G521" s="12" t="s">
        <v>301</v>
      </c>
      <c r="H521" s="10" t="n">
        <f aca="false">IF(EXACT(F521,G521),0,1)</f>
        <v>0</v>
      </c>
      <c r="I521" s="10" t="str">
        <f aca="false">IF(ABS(H521)&lt;=0.000001,"PASS","FAIL")</f>
        <v>PASS</v>
      </c>
      <c r="J521" s="10" t="s">
        <v>2144</v>
      </c>
    </row>
    <row r="522" customFormat="false" ht="15" hidden="false" customHeight="false" outlineLevel="0" collapsed="false">
      <c r="A522" s="10" t="s">
        <v>2197</v>
      </c>
      <c r="B522" s="10" t="s">
        <v>1099</v>
      </c>
      <c r="C522" s="10" t="s">
        <v>2198</v>
      </c>
      <c r="D522" s="10" t="s">
        <v>1124</v>
      </c>
      <c r="E522" s="10" t="s">
        <v>189</v>
      </c>
      <c r="F522" s="14" t="n">
        <f aca="false">Guidance_Accuracy!F132</f>
        <v>37</v>
      </c>
      <c r="G522" s="12" t="n">
        <v>37</v>
      </c>
      <c r="H522" s="10" t="n">
        <f aca="false">F522-G522</f>
        <v>0</v>
      </c>
      <c r="I522" s="10" t="str">
        <f aca="false">IF(ABS(H522)&lt;=0.000001,"PASS","FAIL")</f>
        <v>PASS</v>
      </c>
      <c r="J522" s="10" t="s">
        <v>2155</v>
      </c>
    </row>
    <row r="523" customFormat="false" ht="15" hidden="false" customHeight="false" outlineLevel="0" collapsed="false">
      <c r="A523" s="10" t="s">
        <v>2199</v>
      </c>
      <c r="B523" s="10" t="s">
        <v>1099</v>
      </c>
      <c r="C523" s="10" t="s">
        <v>2200</v>
      </c>
      <c r="D523" s="10" t="s">
        <v>1124</v>
      </c>
      <c r="E523" s="10" t="s">
        <v>189</v>
      </c>
      <c r="F523" s="14" t="n">
        <f aca="false">Guidance_Accuracy!G132</f>
        <v>39</v>
      </c>
      <c r="G523" s="12" t="n">
        <v>39</v>
      </c>
      <c r="H523" s="10" t="n">
        <f aca="false">F523-G523</f>
        <v>0</v>
      </c>
      <c r="I523" s="10" t="str">
        <f aca="false">IF(ABS(H523)&lt;=0.000001,"PASS","FAIL")</f>
        <v>PASS</v>
      </c>
      <c r="J523" s="10" t="s">
        <v>2158</v>
      </c>
    </row>
    <row r="524" customFormat="false" ht="15" hidden="false" customHeight="false" outlineLevel="0" collapsed="false">
      <c r="A524" s="10" t="s">
        <v>2201</v>
      </c>
      <c r="B524" s="10" t="s">
        <v>1099</v>
      </c>
      <c r="C524" s="10" t="s">
        <v>2202</v>
      </c>
      <c r="D524" s="10" t="s">
        <v>1124</v>
      </c>
      <c r="E524" s="10" t="s">
        <v>139</v>
      </c>
      <c r="F524" s="24" t="n">
        <f aca="false">Guidance_Accuracy!B133</f>
        <v>46062</v>
      </c>
      <c r="G524" s="11" t="n">
        <v>46062</v>
      </c>
      <c r="H524" s="10" t="n">
        <f aca="false">F524-G524</f>
        <v>0</v>
      </c>
      <c r="I524" s="10" t="str">
        <f aca="false">IF(ABS(H524)&lt;=0.000001,"PASS","FAIL")</f>
        <v>PASS</v>
      </c>
      <c r="J524" s="10" t="s">
        <v>2144</v>
      </c>
    </row>
    <row r="525" customFormat="false" ht="15" hidden="false" customHeight="false" outlineLevel="0" collapsed="false">
      <c r="A525" s="10" t="s">
        <v>2203</v>
      </c>
      <c r="B525" s="10" t="s">
        <v>1099</v>
      </c>
      <c r="C525" s="10" t="s">
        <v>2204</v>
      </c>
      <c r="D525" s="10" t="s">
        <v>1124</v>
      </c>
      <c r="E525" s="10" t="s">
        <v>139</v>
      </c>
      <c r="F525" s="10" t="str">
        <f aca="false">Guidance_Accuracy!C133</f>
        <v>Q4 2025</v>
      </c>
      <c r="G525" s="12" t="s">
        <v>133</v>
      </c>
      <c r="H525" s="10" t="n">
        <f aca="false">IF(EXACT(F525,G525),0,1)</f>
        <v>0</v>
      </c>
      <c r="I525" s="10" t="str">
        <f aca="false">IF(ABS(H525)&lt;=0.000001,"PASS","FAIL")</f>
        <v>PASS</v>
      </c>
      <c r="J525" s="10" t="s">
        <v>2144</v>
      </c>
    </row>
    <row r="526" customFormat="false" ht="15" hidden="false" customHeight="false" outlineLevel="0" collapsed="false">
      <c r="A526" s="10" t="s">
        <v>2205</v>
      </c>
      <c r="B526" s="10" t="s">
        <v>1099</v>
      </c>
      <c r="C526" s="10" t="s">
        <v>2206</v>
      </c>
      <c r="D526" s="10" t="s">
        <v>1124</v>
      </c>
      <c r="E526" s="10" t="s">
        <v>139</v>
      </c>
      <c r="F526" s="10" t="str">
        <f aca="false">Guidance_Accuracy!D133</f>
        <v>Q1 2026</v>
      </c>
      <c r="G526" s="12" t="s">
        <v>138</v>
      </c>
      <c r="H526" s="10" t="n">
        <f aca="false">IF(EXACT(F526,G526),0,1)</f>
        <v>0</v>
      </c>
      <c r="I526" s="10" t="str">
        <f aca="false">IF(ABS(H526)&lt;=0.000001,"PASS","FAIL")</f>
        <v>PASS</v>
      </c>
      <c r="J526" s="10" t="s">
        <v>2144</v>
      </c>
    </row>
    <row r="527" customFormat="false" ht="15" hidden="false" customHeight="false" outlineLevel="0" collapsed="false">
      <c r="A527" s="10" t="s">
        <v>2207</v>
      </c>
      <c r="B527" s="10" t="s">
        <v>1099</v>
      </c>
      <c r="C527" s="10" t="s">
        <v>2208</v>
      </c>
      <c r="D527" s="10" t="s">
        <v>1124</v>
      </c>
      <c r="E527" s="10" t="s">
        <v>139</v>
      </c>
      <c r="F527" s="10" t="str">
        <f aca="false">Guidance_Accuracy!E133</f>
        <v>Revenue</v>
      </c>
      <c r="G527" s="12" t="s">
        <v>24</v>
      </c>
      <c r="H527" s="10" t="n">
        <f aca="false">IF(EXACT(F527,G527),0,1)</f>
        <v>0</v>
      </c>
      <c r="I527" s="10" t="str">
        <f aca="false">IF(ABS(H527)&lt;=0.000001,"PASS","FAIL")</f>
        <v>PASS</v>
      </c>
      <c r="J527" s="10" t="s">
        <v>2144</v>
      </c>
    </row>
    <row r="528" customFormat="false" ht="15" hidden="false" customHeight="false" outlineLevel="0" collapsed="false">
      <c r="A528" s="10" t="s">
        <v>2209</v>
      </c>
      <c r="B528" s="10" t="s">
        <v>1099</v>
      </c>
      <c r="C528" s="10" t="s">
        <v>2210</v>
      </c>
      <c r="D528" s="10" t="s">
        <v>1124</v>
      </c>
      <c r="E528" s="10" t="s">
        <v>139</v>
      </c>
      <c r="F528" s="10" t="str">
        <f aca="false">Guidance_Accuracy!H133</f>
        <v>USD millions</v>
      </c>
      <c r="G528" s="12" t="s">
        <v>301</v>
      </c>
      <c r="H528" s="10" t="n">
        <f aca="false">IF(EXACT(F528,G528),0,1)</f>
        <v>0</v>
      </c>
      <c r="I528" s="10" t="str">
        <f aca="false">IF(ABS(H528)&lt;=0.000001,"PASS","FAIL")</f>
        <v>PASS</v>
      </c>
      <c r="J528" s="10" t="s">
        <v>2144</v>
      </c>
    </row>
    <row r="529" customFormat="false" ht="15" hidden="false" customHeight="false" outlineLevel="0" collapsed="false">
      <c r="A529" s="10" t="s">
        <v>2211</v>
      </c>
      <c r="B529" s="10" t="s">
        <v>1099</v>
      </c>
      <c r="C529" s="10" t="s">
        <v>2212</v>
      </c>
      <c r="D529" s="10" t="s">
        <v>1124</v>
      </c>
      <c r="E529" s="10" t="s">
        <v>139</v>
      </c>
      <c r="F529" s="14" t="n">
        <f aca="false">Guidance_Accuracy!F133</f>
        <v>338</v>
      </c>
      <c r="G529" s="12" t="n">
        <v>338</v>
      </c>
      <c r="H529" s="10" t="n">
        <f aca="false">F529-G529</f>
        <v>0</v>
      </c>
      <c r="I529" s="10" t="str">
        <f aca="false">IF(ABS(H529)&lt;=0.000001,"PASS","FAIL")</f>
        <v>PASS</v>
      </c>
      <c r="J529" s="10" t="s">
        <v>2155</v>
      </c>
    </row>
    <row r="530" customFormat="false" ht="15" hidden="false" customHeight="false" outlineLevel="0" collapsed="false">
      <c r="A530" s="10" t="s">
        <v>2213</v>
      </c>
      <c r="B530" s="10" t="s">
        <v>1099</v>
      </c>
      <c r="C530" s="10" t="s">
        <v>2214</v>
      </c>
      <c r="D530" s="10" t="s">
        <v>1124</v>
      </c>
      <c r="E530" s="10" t="s">
        <v>139</v>
      </c>
      <c r="F530" s="14" t="n">
        <f aca="false">Guidance_Accuracy!G133</f>
        <v>340</v>
      </c>
      <c r="G530" s="12" t="n">
        <v>340</v>
      </c>
      <c r="H530" s="10" t="n">
        <f aca="false">F530-G530</f>
        <v>0</v>
      </c>
      <c r="I530" s="10" t="str">
        <f aca="false">IF(ABS(H530)&lt;=0.000001,"PASS","FAIL")</f>
        <v>PASS</v>
      </c>
      <c r="J530" s="10" t="s">
        <v>2158</v>
      </c>
    </row>
    <row r="531" customFormat="false" ht="15" hidden="false" customHeight="false" outlineLevel="0" collapsed="false">
      <c r="A531" s="10" t="s">
        <v>2215</v>
      </c>
      <c r="B531" s="10" t="s">
        <v>1099</v>
      </c>
      <c r="C531" s="10" t="s">
        <v>2216</v>
      </c>
      <c r="D531" s="10" t="s">
        <v>1124</v>
      </c>
      <c r="E531" s="10" t="s">
        <v>304</v>
      </c>
      <c r="F531" s="24" t="n">
        <f aca="false">Guidance_Accuracy!B134</f>
        <v>46153</v>
      </c>
      <c r="G531" s="11" t="n">
        <v>46153</v>
      </c>
      <c r="H531" s="10" t="n">
        <f aca="false">F531-G531</f>
        <v>0</v>
      </c>
      <c r="I531" s="10" t="str">
        <f aca="false">IF(ABS(H531)&lt;=0.000001,"PASS","FAIL")</f>
        <v>PASS</v>
      </c>
      <c r="J531" s="10" t="s">
        <v>2144</v>
      </c>
    </row>
    <row r="532" customFormat="false" ht="15" hidden="false" customHeight="false" outlineLevel="0" collapsed="false">
      <c r="A532" s="10" t="s">
        <v>2217</v>
      </c>
      <c r="B532" s="10" t="s">
        <v>1099</v>
      </c>
      <c r="C532" s="10" t="s">
        <v>2218</v>
      </c>
      <c r="D532" s="10" t="s">
        <v>1124</v>
      </c>
      <c r="E532" s="10" t="s">
        <v>304</v>
      </c>
      <c r="F532" s="10" t="str">
        <f aca="false">Guidance_Accuracy!C134</f>
        <v>Q1 2026</v>
      </c>
      <c r="G532" s="12" t="s">
        <v>138</v>
      </c>
      <c r="H532" s="10" t="n">
        <f aca="false">IF(EXACT(F532,G532),0,1)</f>
        <v>0</v>
      </c>
      <c r="I532" s="10" t="str">
        <f aca="false">IF(ABS(H532)&lt;=0.000001,"PASS","FAIL")</f>
        <v>PASS</v>
      </c>
      <c r="J532" s="10" t="s">
        <v>2144</v>
      </c>
    </row>
    <row r="533" customFormat="false" ht="15" hidden="false" customHeight="false" outlineLevel="0" collapsed="false">
      <c r="A533" s="10" t="s">
        <v>2219</v>
      </c>
      <c r="B533" s="10" t="s">
        <v>1099</v>
      </c>
      <c r="C533" s="10" t="s">
        <v>2220</v>
      </c>
      <c r="D533" s="10" t="s">
        <v>1124</v>
      </c>
      <c r="E533" s="10" t="s">
        <v>304</v>
      </c>
      <c r="F533" s="10" t="str">
        <f aca="false">Guidance_Accuracy!D134</f>
        <v>FY 2026</v>
      </c>
      <c r="G533" s="12" t="s">
        <v>300</v>
      </c>
      <c r="H533" s="10" t="n">
        <f aca="false">IF(EXACT(F533,G533),0,1)</f>
        <v>0</v>
      </c>
      <c r="I533" s="10" t="str">
        <f aca="false">IF(ABS(H533)&lt;=0.000001,"PASS","FAIL")</f>
        <v>PASS</v>
      </c>
      <c r="J533" s="10" t="s">
        <v>2144</v>
      </c>
    </row>
    <row r="534" customFormat="false" ht="15" hidden="false" customHeight="false" outlineLevel="0" collapsed="false">
      <c r="A534" s="10" t="s">
        <v>2221</v>
      </c>
      <c r="B534" s="10" t="s">
        <v>1099</v>
      </c>
      <c r="C534" s="10" t="s">
        <v>2222</v>
      </c>
      <c r="D534" s="10" t="s">
        <v>1124</v>
      </c>
      <c r="E534" s="10" t="s">
        <v>304</v>
      </c>
      <c r="F534" s="10" t="str">
        <f aca="false">Guidance_Accuracy!E134</f>
        <v>Adjusted free cash flow</v>
      </c>
      <c r="G534" s="12" t="s">
        <v>284</v>
      </c>
      <c r="H534" s="10" t="n">
        <f aca="false">IF(EXACT(F534,G534),0,1)</f>
        <v>0</v>
      </c>
      <c r="I534" s="10" t="str">
        <f aca="false">IF(ABS(H534)&lt;=0.000001,"PASS","FAIL")</f>
        <v>PASS</v>
      </c>
      <c r="J534" s="10" t="s">
        <v>2144</v>
      </c>
    </row>
    <row r="535" customFormat="false" ht="15" hidden="false" customHeight="false" outlineLevel="0" collapsed="false">
      <c r="A535" s="10" t="s">
        <v>2223</v>
      </c>
      <c r="B535" s="10" t="s">
        <v>1099</v>
      </c>
      <c r="C535" s="10" t="s">
        <v>2224</v>
      </c>
      <c r="D535" s="10" t="s">
        <v>1124</v>
      </c>
      <c r="E535" s="10" t="s">
        <v>304</v>
      </c>
      <c r="F535" s="10" t="str">
        <f aca="false">Guidance_Accuracy!H134</f>
        <v>USD millions</v>
      </c>
      <c r="G535" s="12" t="s">
        <v>301</v>
      </c>
      <c r="H535" s="10" t="n">
        <f aca="false">IF(EXACT(F535,G535),0,1)</f>
        <v>0</v>
      </c>
      <c r="I535" s="10" t="str">
        <f aca="false">IF(ABS(H535)&lt;=0.000001,"PASS","FAIL")</f>
        <v>PASS</v>
      </c>
      <c r="J535" s="10" t="s">
        <v>2144</v>
      </c>
    </row>
    <row r="536" customFormat="false" ht="15" hidden="false" customHeight="false" outlineLevel="0" collapsed="false">
      <c r="A536" s="10" t="s">
        <v>2225</v>
      </c>
      <c r="B536" s="10" t="s">
        <v>1099</v>
      </c>
      <c r="C536" s="10" t="s">
        <v>2226</v>
      </c>
      <c r="D536" s="10" t="s">
        <v>1124</v>
      </c>
      <c r="E536" s="10" t="s">
        <v>304</v>
      </c>
      <c r="F536" s="14" t="n">
        <f aca="false">Guidance_Accuracy!F134</f>
        <v>280</v>
      </c>
      <c r="G536" s="12" t="n">
        <v>280</v>
      </c>
      <c r="H536" s="10" t="n">
        <f aca="false">F536-G536</f>
        <v>0</v>
      </c>
      <c r="I536" s="10" t="str">
        <f aca="false">IF(ABS(H536)&lt;=0.000001,"PASS","FAIL")</f>
        <v>PASS</v>
      </c>
      <c r="J536" s="10" t="s">
        <v>2155</v>
      </c>
    </row>
    <row r="537" customFormat="false" ht="15" hidden="false" customHeight="false" outlineLevel="0" collapsed="false">
      <c r="A537" s="10" t="s">
        <v>2227</v>
      </c>
      <c r="B537" s="10" t="s">
        <v>1099</v>
      </c>
      <c r="C537" s="10" t="s">
        <v>2228</v>
      </c>
      <c r="D537" s="10" t="s">
        <v>1124</v>
      </c>
      <c r="E537" s="10" t="s">
        <v>304</v>
      </c>
      <c r="F537" s="14" t="n">
        <f aca="false">Guidance_Accuracy!G134</f>
        <v>290</v>
      </c>
      <c r="G537" s="12" t="n">
        <v>290</v>
      </c>
      <c r="H537" s="10" t="n">
        <f aca="false">F537-G537</f>
        <v>0</v>
      </c>
      <c r="I537" s="10" t="str">
        <f aca="false">IF(ABS(H537)&lt;=0.000001,"PASS","FAIL")</f>
        <v>PASS</v>
      </c>
      <c r="J537" s="10" t="s">
        <v>2158</v>
      </c>
    </row>
    <row r="538" customFormat="false" ht="15" hidden="false" customHeight="false" outlineLevel="0" collapsed="false">
      <c r="A538" s="10" t="s">
        <v>2229</v>
      </c>
      <c r="B538" s="10" t="s">
        <v>1099</v>
      </c>
      <c r="C538" s="10" t="s">
        <v>2230</v>
      </c>
      <c r="D538" s="10" t="s">
        <v>1124</v>
      </c>
      <c r="E538" s="10" t="s">
        <v>305</v>
      </c>
      <c r="F538" s="24" t="n">
        <f aca="false">Guidance_Accuracy!B135</f>
        <v>46153</v>
      </c>
      <c r="G538" s="11" t="n">
        <v>46153</v>
      </c>
      <c r="H538" s="10" t="n">
        <f aca="false">F538-G538</f>
        <v>0</v>
      </c>
      <c r="I538" s="10" t="str">
        <f aca="false">IF(ABS(H538)&lt;=0.000001,"PASS","FAIL")</f>
        <v>PASS</v>
      </c>
      <c r="J538" s="10" t="s">
        <v>2144</v>
      </c>
    </row>
    <row r="539" customFormat="false" ht="15" hidden="false" customHeight="false" outlineLevel="0" collapsed="false">
      <c r="A539" s="10" t="s">
        <v>2231</v>
      </c>
      <c r="B539" s="10" t="s">
        <v>1099</v>
      </c>
      <c r="C539" s="10" t="s">
        <v>2232</v>
      </c>
      <c r="D539" s="10" t="s">
        <v>1124</v>
      </c>
      <c r="E539" s="10" t="s">
        <v>305</v>
      </c>
      <c r="F539" s="10" t="str">
        <f aca="false">Guidance_Accuracy!C135</f>
        <v>Q1 2026</v>
      </c>
      <c r="G539" s="12" t="s">
        <v>138</v>
      </c>
      <c r="H539" s="10" t="n">
        <f aca="false">IF(EXACT(F539,G539),0,1)</f>
        <v>0</v>
      </c>
      <c r="I539" s="10" t="str">
        <f aca="false">IF(ABS(H539)&lt;=0.000001,"PASS","FAIL")</f>
        <v>PASS</v>
      </c>
      <c r="J539" s="10" t="s">
        <v>2144</v>
      </c>
    </row>
    <row r="540" customFormat="false" ht="15" hidden="false" customHeight="false" outlineLevel="0" collapsed="false">
      <c r="A540" s="10" t="s">
        <v>2233</v>
      </c>
      <c r="B540" s="10" t="s">
        <v>1099</v>
      </c>
      <c r="C540" s="10" t="s">
        <v>2234</v>
      </c>
      <c r="D540" s="10" t="s">
        <v>1124</v>
      </c>
      <c r="E540" s="10" t="s">
        <v>305</v>
      </c>
      <c r="F540" s="10" t="str">
        <f aca="false">Guidance_Accuracy!D135</f>
        <v>FY 2026</v>
      </c>
      <c r="G540" s="12" t="s">
        <v>300</v>
      </c>
      <c r="H540" s="10" t="n">
        <f aca="false">IF(EXACT(F540,G540),0,1)</f>
        <v>0</v>
      </c>
      <c r="I540" s="10" t="str">
        <f aca="false">IF(ABS(H540)&lt;=0.000001,"PASS","FAIL")</f>
        <v>PASS</v>
      </c>
      <c r="J540" s="10" t="s">
        <v>2144</v>
      </c>
    </row>
    <row r="541" customFormat="false" ht="15" hidden="false" customHeight="false" outlineLevel="0" collapsed="false">
      <c r="A541" s="10" t="s">
        <v>2235</v>
      </c>
      <c r="B541" s="10" t="s">
        <v>1099</v>
      </c>
      <c r="C541" s="10" t="s">
        <v>2236</v>
      </c>
      <c r="D541" s="10" t="s">
        <v>1124</v>
      </c>
      <c r="E541" s="10" t="s">
        <v>305</v>
      </c>
      <c r="F541" s="10" t="str">
        <f aca="false">Guidance_Accuracy!E135</f>
        <v>Non-GAAP operating income (loss)</v>
      </c>
      <c r="G541" s="12" t="s">
        <v>151</v>
      </c>
      <c r="H541" s="10" t="n">
        <f aca="false">IF(EXACT(F541,G541),0,1)</f>
        <v>0</v>
      </c>
      <c r="I541" s="10" t="str">
        <f aca="false">IF(ABS(H541)&lt;=0.000001,"PASS","FAIL")</f>
        <v>PASS</v>
      </c>
      <c r="J541" s="10" t="s">
        <v>2144</v>
      </c>
    </row>
    <row r="542" customFormat="false" ht="15" hidden="false" customHeight="false" outlineLevel="0" collapsed="false">
      <c r="A542" s="10" t="s">
        <v>2237</v>
      </c>
      <c r="B542" s="10" t="s">
        <v>1099</v>
      </c>
      <c r="C542" s="10" t="s">
        <v>2238</v>
      </c>
      <c r="D542" s="10" t="s">
        <v>1124</v>
      </c>
      <c r="E542" s="10" t="s">
        <v>305</v>
      </c>
      <c r="F542" s="10" t="str">
        <f aca="false">Guidance_Accuracy!H135</f>
        <v>USD millions</v>
      </c>
      <c r="G542" s="12" t="s">
        <v>301</v>
      </c>
      <c r="H542" s="10" t="n">
        <f aca="false">IF(EXACT(F542,G542),0,1)</f>
        <v>0</v>
      </c>
      <c r="I542" s="10" t="str">
        <f aca="false">IF(ABS(H542)&lt;=0.000001,"PASS","FAIL")</f>
        <v>PASS</v>
      </c>
      <c r="J542" s="10" t="s">
        <v>2144</v>
      </c>
    </row>
    <row r="543" customFormat="false" ht="15" hidden="false" customHeight="false" outlineLevel="0" collapsed="false">
      <c r="A543" s="10" t="s">
        <v>2239</v>
      </c>
      <c r="B543" s="10" t="s">
        <v>1099</v>
      </c>
      <c r="C543" s="10" t="s">
        <v>2240</v>
      </c>
      <c r="D543" s="10" t="s">
        <v>1124</v>
      </c>
      <c r="E543" s="10" t="s">
        <v>305</v>
      </c>
      <c r="F543" s="14" t="n">
        <f aca="false">Guidance_Accuracy!F135</f>
        <v>185</v>
      </c>
      <c r="G543" s="12" t="n">
        <v>185</v>
      </c>
      <c r="H543" s="10" t="n">
        <f aca="false">F543-G543</f>
        <v>0</v>
      </c>
      <c r="I543" s="10" t="str">
        <f aca="false">IF(ABS(H543)&lt;=0.000001,"PASS","FAIL")</f>
        <v>PASS</v>
      </c>
      <c r="J543" s="10" t="s">
        <v>2155</v>
      </c>
    </row>
    <row r="544" customFormat="false" ht="15" hidden="false" customHeight="false" outlineLevel="0" collapsed="false">
      <c r="A544" s="10" t="s">
        <v>2241</v>
      </c>
      <c r="B544" s="10" t="s">
        <v>1099</v>
      </c>
      <c r="C544" s="10" t="s">
        <v>2242</v>
      </c>
      <c r="D544" s="10" t="s">
        <v>1124</v>
      </c>
      <c r="E544" s="10" t="s">
        <v>305</v>
      </c>
      <c r="F544" s="14" t="n">
        <f aca="false">Guidance_Accuracy!G135</f>
        <v>191</v>
      </c>
      <c r="G544" s="12" t="n">
        <v>191</v>
      </c>
      <c r="H544" s="10" t="n">
        <f aca="false">F544-G544</f>
        <v>0</v>
      </c>
      <c r="I544" s="10" t="str">
        <f aca="false">IF(ABS(H544)&lt;=0.000001,"PASS","FAIL")</f>
        <v>PASS</v>
      </c>
      <c r="J544" s="10" t="s">
        <v>2158</v>
      </c>
    </row>
    <row r="545" customFormat="false" ht="15" hidden="false" customHeight="false" outlineLevel="0" collapsed="false">
      <c r="A545" s="10" t="s">
        <v>2243</v>
      </c>
      <c r="B545" s="10" t="s">
        <v>1099</v>
      </c>
      <c r="C545" s="10" t="s">
        <v>2244</v>
      </c>
      <c r="D545" s="10" t="s">
        <v>1124</v>
      </c>
      <c r="E545" s="10" t="s">
        <v>306</v>
      </c>
      <c r="F545" s="24" t="n">
        <f aca="false">Guidance_Accuracy!B136</f>
        <v>46153</v>
      </c>
      <c r="G545" s="11" t="n">
        <v>46153</v>
      </c>
      <c r="H545" s="10" t="n">
        <f aca="false">F545-G545</f>
        <v>0</v>
      </c>
      <c r="I545" s="10" t="str">
        <f aca="false">IF(ABS(H545)&lt;=0.000001,"PASS","FAIL")</f>
        <v>PASS</v>
      </c>
      <c r="J545" s="10" t="s">
        <v>2144</v>
      </c>
    </row>
    <row r="546" customFormat="false" ht="15" hidden="false" customHeight="false" outlineLevel="0" collapsed="false">
      <c r="A546" s="10" t="s">
        <v>2245</v>
      </c>
      <c r="B546" s="10" t="s">
        <v>1099</v>
      </c>
      <c r="C546" s="10" t="s">
        <v>2246</v>
      </c>
      <c r="D546" s="10" t="s">
        <v>1124</v>
      </c>
      <c r="E546" s="10" t="s">
        <v>306</v>
      </c>
      <c r="F546" s="10" t="str">
        <f aca="false">Guidance_Accuracy!C136</f>
        <v>Q1 2026</v>
      </c>
      <c r="G546" s="12" t="s">
        <v>138</v>
      </c>
      <c r="H546" s="10" t="n">
        <f aca="false">IF(EXACT(F546,G546),0,1)</f>
        <v>0</v>
      </c>
      <c r="I546" s="10" t="str">
        <f aca="false">IF(ABS(H546)&lt;=0.000001,"PASS","FAIL")</f>
        <v>PASS</v>
      </c>
      <c r="J546" s="10" t="s">
        <v>2144</v>
      </c>
    </row>
    <row r="547" customFormat="false" ht="15" hidden="false" customHeight="false" outlineLevel="0" collapsed="false">
      <c r="A547" s="10" t="s">
        <v>2247</v>
      </c>
      <c r="B547" s="10" t="s">
        <v>1099</v>
      </c>
      <c r="C547" s="10" t="s">
        <v>2248</v>
      </c>
      <c r="D547" s="10" t="s">
        <v>1124</v>
      </c>
      <c r="E547" s="10" t="s">
        <v>306</v>
      </c>
      <c r="F547" s="10" t="str">
        <f aca="false">Guidance_Accuracy!D136</f>
        <v>FY 2026</v>
      </c>
      <c r="G547" s="12" t="s">
        <v>300</v>
      </c>
      <c r="H547" s="10" t="n">
        <f aca="false">IF(EXACT(F547,G547),0,1)</f>
        <v>0</v>
      </c>
      <c r="I547" s="10" t="str">
        <f aca="false">IF(ABS(H547)&lt;=0.000001,"PASS","FAIL")</f>
        <v>PASS</v>
      </c>
      <c r="J547" s="10" t="s">
        <v>2144</v>
      </c>
    </row>
    <row r="548" customFormat="false" ht="15" hidden="false" customHeight="false" outlineLevel="0" collapsed="false">
      <c r="A548" s="10" t="s">
        <v>2249</v>
      </c>
      <c r="B548" s="10" t="s">
        <v>1099</v>
      </c>
      <c r="C548" s="10" t="s">
        <v>2250</v>
      </c>
      <c r="D548" s="10" t="s">
        <v>1124</v>
      </c>
      <c r="E548" s="10" t="s">
        <v>306</v>
      </c>
      <c r="F548" s="10" t="str">
        <f aca="false">Guidance_Accuracy!E136</f>
        <v>Revenue</v>
      </c>
      <c r="G548" s="12" t="s">
        <v>24</v>
      </c>
      <c r="H548" s="10" t="n">
        <f aca="false">IF(EXACT(F548,G548),0,1)</f>
        <v>0</v>
      </c>
      <c r="I548" s="10" t="str">
        <f aca="false">IF(ABS(H548)&lt;=0.000001,"PASS","FAIL")</f>
        <v>PASS</v>
      </c>
      <c r="J548" s="10" t="s">
        <v>2144</v>
      </c>
    </row>
    <row r="549" customFormat="false" ht="15" hidden="false" customHeight="false" outlineLevel="0" collapsed="false">
      <c r="A549" s="10" t="s">
        <v>2251</v>
      </c>
      <c r="B549" s="10" t="s">
        <v>1099</v>
      </c>
      <c r="C549" s="10" t="s">
        <v>2252</v>
      </c>
      <c r="D549" s="10" t="s">
        <v>1124</v>
      </c>
      <c r="E549" s="10" t="s">
        <v>306</v>
      </c>
      <c r="F549" s="10" t="str">
        <f aca="false">Guidance_Accuracy!H136</f>
        <v>USD millions</v>
      </c>
      <c r="G549" s="12" t="s">
        <v>301</v>
      </c>
      <c r="H549" s="10" t="n">
        <f aca="false">IF(EXACT(F549,G549),0,1)</f>
        <v>0</v>
      </c>
      <c r="I549" s="10" t="str">
        <f aca="false">IF(ABS(H549)&lt;=0.000001,"PASS","FAIL")</f>
        <v>PASS</v>
      </c>
      <c r="J549" s="10" t="s">
        <v>2144</v>
      </c>
    </row>
    <row r="550" customFormat="false" ht="15" hidden="false" customHeight="false" outlineLevel="0" collapsed="false">
      <c r="A550" s="10" t="s">
        <v>2253</v>
      </c>
      <c r="B550" s="10" t="s">
        <v>1099</v>
      </c>
      <c r="C550" s="10" t="s">
        <v>2254</v>
      </c>
      <c r="D550" s="10" t="s">
        <v>1124</v>
      </c>
      <c r="E550" s="10" t="s">
        <v>306</v>
      </c>
      <c r="F550" s="14" t="n">
        <f aca="false">Guidance_Accuracy!F136</f>
        <v>1466</v>
      </c>
      <c r="G550" s="12" t="n">
        <v>1466</v>
      </c>
      <c r="H550" s="10" t="n">
        <f aca="false">F550-G550</f>
        <v>0</v>
      </c>
      <c r="I550" s="10" t="str">
        <f aca="false">IF(ABS(H550)&lt;=0.000001,"PASS","FAIL")</f>
        <v>PASS</v>
      </c>
      <c r="J550" s="10" t="s">
        <v>2155</v>
      </c>
    </row>
    <row r="551" customFormat="false" ht="15" hidden="false" customHeight="false" outlineLevel="0" collapsed="false">
      <c r="A551" s="10" t="s">
        <v>2255</v>
      </c>
      <c r="B551" s="10" t="s">
        <v>1099</v>
      </c>
      <c r="C551" s="10" t="s">
        <v>2256</v>
      </c>
      <c r="D551" s="10" t="s">
        <v>1124</v>
      </c>
      <c r="E551" s="10" t="s">
        <v>306</v>
      </c>
      <c r="F551" s="14" t="n">
        <f aca="false">Guidance_Accuracy!G136</f>
        <v>1474</v>
      </c>
      <c r="G551" s="12" t="n">
        <v>1474</v>
      </c>
      <c r="H551" s="10" t="n">
        <f aca="false">F551-G551</f>
        <v>0</v>
      </c>
      <c r="I551" s="10" t="str">
        <f aca="false">IF(ABS(H551)&lt;=0.000001,"PASS","FAIL")</f>
        <v>PASS</v>
      </c>
      <c r="J551" s="10" t="s">
        <v>2158</v>
      </c>
    </row>
    <row r="552" customFormat="false" ht="15" hidden="false" customHeight="false" outlineLevel="0" collapsed="false">
      <c r="A552" s="10" t="s">
        <v>2257</v>
      </c>
      <c r="B552" s="10" t="s">
        <v>1099</v>
      </c>
      <c r="C552" s="10" t="s">
        <v>2258</v>
      </c>
      <c r="D552" s="10" t="s">
        <v>1124</v>
      </c>
      <c r="E552" s="10" t="s">
        <v>192</v>
      </c>
      <c r="F552" s="24" t="n">
        <f aca="false">Guidance_Accuracy!B137</f>
        <v>46153</v>
      </c>
      <c r="G552" s="11" t="n">
        <v>46153</v>
      </c>
      <c r="H552" s="10" t="n">
        <f aca="false">F552-G552</f>
        <v>0</v>
      </c>
      <c r="I552" s="10" t="str">
        <f aca="false">IF(ABS(H552)&lt;=0.000001,"PASS","FAIL")</f>
        <v>PASS</v>
      </c>
      <c r="J552" s="10" t="s">
        <v>2144</v>
      </c>
    </row>
    <row r="553" customFormat="false" ht="15" hidden="false" customHeight="false" outlineLevel="0" collapsed="false">
      <c r="A553" s="10" t="s">
        <v>2259</v>
      </c>
      <c r="B553" s="10" t="s">
        <v>1099</v>
      </c>
      <c r="C553" s="10" t="s">
        <v>2260</v>
      </c>
      <c r="D553" s="10" t="s">
        <v>1124</v>
      </c>
      <c r="E553" s="10" t="s">
        <v>192</v>
      </c>
      <c r="F553" s="10" t="str">
        <f aca="false">Guidance_Accuracy!C137</f>
        <v>Q1 2026</v>
      </c>
      <c r="G553" s="12" t="s">
        <v>138</v>
      </c>
      <c r="H553" s="10" t="n">
        <f aca="false">IF(EXACT(F553,G553),0,1)</f>
        <v>0</v>
      </c>
      <c r="I553" s="10" t="str">
        <f aca="false">IF(ABS(H553)&lt;=0.000001,"PASS","FAIL")</f>
        <v>PASS</v>
      </c>
      <c r="J553" s="10" t="s">
        <v>2144</v>
      </c>
    </row>
    <row r="554" customFormat="false" ht="15" hidden="false" customHeight="false" outlineLevel="0" collapsed="false">
      <c r="A554" s="10" t="s">
        <v>2261</v>
      </c>
      <c r="B554" s="10" t="s">
        <v>1099</v>
      </c>
      <c r="C554" s="10" t="s">
        <v>2262</v>
      </c>
      <c r="D554" s="10" t="s">
        <v>1124</v>
      </c>
      <c r="E554" s="10" t="s">
        <v>192</v>
      </c>
      <c r="F554" s="10" t="str">
        <f aca="false">Guidance_Accuracy!D137</f>
        <v>Q2 2026</v>
      </c>
      <c r="G554" s="12" t="s">
        <v>143</v>
      </c>
      <c r="H554" s="10" t="n">
        <f aca="false">IF(EXACT(F554,G554),0,1)</f>
        <v>0</v>
      </c>
      <c r="I554" s="10" t="str">
        <f aca="false">IF(ABS(H554)&lt;=0.000001,"PASS","FAIL")</f>
        <v>PASS</v>
      </c>
      <c r="J554" s="10" t="s">
        <v>2144</v>
      </c>
    </row>
    <row r="555" customFormat="false" ht="15" hidden="false" customHeight="false" outlineLevel="0" collapsed="false">
      <c r="A555" s="10" t="s">
        <v>2263</v>
      </c>
      <c r="B555" s="10" t="s">
        <v>1099</v>
      </c>
      <c r="C555" s="10" t="s">
        <v>2264</v>
      </c>
      <c r="D555" s="10" t="s">
        <v>1124</v>
      </c>
      <c r="E555" s="10" t="s">
        <v>192</v>
      </c>
      <c r="F555" s="10" t="str">
        <f aca="false">Guidance_Accuracy!E137</f>
        <v>Non-GAAP operating income (loss)</v>
      </c>
      <c r="G555" s="12" t="s">
        <v>151</v>
      </c>
      <c r="H555" s="10" t="n">
        <f aca="false">IF(EXACT(F555,G555),0,1)</f>
        <v>0</v>
      </c>
      <c r="I555" s="10" t="str">
        <f aca="false">IF(ABS(H555)&lt;=0.000001,"PASS","FAIL")</f>
        <v>PASS</v>
      </c>
      <c r="J555" s="10" t="s">
        <v>2144</v>
      </c>
    </row>
    <row r="556" customFormat="false" ht="15" hidden="false" customHeight="false" outlineLevel="0" collapsed="false">
      <c r="A556" s="10" t="s">
        <v>2265</v>
      </c>
      <c r="B556" s="10" t="s">
        <v>1099</v>
      </c>
      <c r="C556" s="10" t="s">
        <v>2266</v>
      </c>
      <c r="D556" s="10" t="s">
        <v>1124</v>
      </c>
      <c r="E556" s="10" t="s">
        <v>192</v>
      </c>
      <c r="F556" s="10" t="str">
        <f aca="false">Guidance_Accuracy!H137</f>
        <v>USD millions</v>
      </c>
      <c r="G556" s="12" t="s">
        <v>301</v>
      </c>
      <c r="H556" s="10" t="n">
        <f aca="false">IF(EXACT(F556,G556),0,1)</f>
        <v>0</v>
      </c>
      <c r="I556" s="10" t="str">
        <f aca="false">IF(ABS(H556)&lt;=0.000001,"PASS","FAIL")</f>
        <v>PASS</v>
      </c>
      <c r="J556" s="10" t="s">
        <v>2144</v>
      </c>
    </row>
    <row r="557" customFormat="false" ht="15" hidden="false" customHeight="false" outlineLevel="0" collapsed="false">
      <c r="A557" s="10" t="s">
        <v>2267</v>
      </c>
      <c r="B557" s="10" t="s">
        <v>1099</v>
      </c>
      <c r="C557" s="10" t="s">
        <v>2268</v>
      </c>
      <c r="D557" s="10" t="s">
        <v>1124</v>
      </c>
      <c r="E557" s="10" t="s">
        <v>192</v>
      </c>
      <c r="F557" s="14" t="n">
        <f aca="false">Guidance_Accuracy!F137</f>
        <v>46</v>
      </c>
      <c r="G557" s="12" t="n">
        <v>46</v>
      </c>
      <c r="H557" s="10" t="n">
        <f aca="false">F557-G557</f>
        <v>0</v>
      </c>
      <c r="I557" s="10" t="str">
        <f aca="false">IF(ABS(H557)&lt;=0.000001,"PASS","FAIL")</f>
        <v>PASS</v>
      </c>
      <c r="J557" s="10" t="s">
        <v>2155</v>
      </c>
    </row>
    <row r="558" customFormat="false" ht="15" hidden="false" customHeight="false" outlineLevel="0" collapsed="false">
      <c r="A558" s="10" t="s">
        <v>2269</v>
      </c>
      <c r="B558" s="10" t="s">
        <v>1099</v>
      </c>
      <c r="C558" s="10" t="s">
        <v>2270</v>
      </c>
      <c r="D558" s="10" t="s">
        <v>1124</v>
      </c>
      <c r="E558" s="10" t="s">
        <v>192</v>
      </c>
      <c r="F558" s="14" t="n">
        <f aca="false">Guidance_Accuracy!G137</f>
        <v>48</v>
      </c>
      <c r="G558" s="12" t="n">
        <v>48</v>
      </c>
      <c r="H558" s="10" t="n">
        <f aca="false">F558-G558</f>
        <v>0</v>
      </c>
      <c r="I558" s="10" t="str">
        <f aca="false">IF(ABS(H558)&lt;=0.000001,"PASS","FAIL")</f>
        <v>PASS</v>
      </c>
      <c r="J558" s="10" t="s">
        <v>2158</v>
      </c>
    </row>
    <row r="559" customFormat="false" ht="15" hidden="false" customHeight="false" outlineLevel="0" collapsed="false">
      <c r="A559" s="10" t="s">
        <v>2271</v>
      </c>
      <c r="B559" s="10" t="s">
        <v>1099</v>
      </c>
      <c r="C559" s="10" t="s">
        <v>2272</v>
      </c>
      <c r="D559" s="10" t="s">
        <v>1124</v>
      </c>
      <c r="E559" s="10" t="s">
        <v>144</v>
      </c>
      <c r="F559" s="24" t="n">
        <f aca="false">Guidance_Accuracy!B138</f>
        <v>46153</v>
      </c>
      <c r="G559" s="11" t="n">
        <v>46153</v>
      </c>
      <c r="H559" s="10" t="n">
        <f aca="false">F559-G559</f>
        <v>0</v>
      </c>
      <c r="I559" s="10" t="str">
        <f aca="false">IF(ABS(H559)&lt;=0.000001,"PASS","FAIL")</f>
        <v>PASS</v>
      </c>
      <c r="J559" s="10" t="s">
        <v>2144</v>
      </c>
    </row>
    <row r="560" customFormat="false" ht="15" hidden="false" customHeight="false" outlineLevel="0" collapsed="false">
      <c r="A560" s="10" t="s">
        <v>2273</v>
      </c>
      <c r="B560" s="10" t="s">
        <v>1099</v>
      </c>
      <c r="C560" s="10" t="s">
        <v>2274</v>
      </c>
      <c r="D560" s="10" t="s">
        <v>1124</v>
      </c>
      <c r="E560" s="10" t="s">
        <v>144</v>
      </c>
      <c r="F560" s="10" t="str">
        <f aca="false">Guidance_Accuracy!C138</f>
        <v>Q1 2026</v>
      </c>
      <c r="G560" s="12" t="s">
        <v>138</v>
      </c>
      <c r="H560" s="10" t="n">
        <f aca="false">IF(EXACT(F560,G560),0,1)</f>
        <v>0</v>
      </c>
      <c r="I560" s="10" t="str">
        <f aca="false">IF(ABS(H560)&lt;=0.000001,"PASS","FAIL")</f>
        <v>PASS</v>
      </c>
      <c r="J560" s="10" t="s">
        <v>2144</v>
      </c>
    </row>
    <row r="561" customFormat="false" ht="15" hidden="false" customHeight="false" outlineLevel="0" collapsed="false">
      <c r="A561" s="10" t="s">
        <v>2275</v>
      </c>
      <c r="B561" s="10" t="s">
        <v>1099</v>
      </c>
      <c r="C561" s="10" t="s">
        <v>2276</v>
      </c>
      <c r="D561" s="10" t="s">
        <v>1124</v>
      </c>
      <c r="E561" s="10" t="s">
        <v>144</v>
      </c>
      <c r="F561" s="10" t="str">
        <f aca="false">Guidance_Accuracy!D138</f>
        <v>Q2 2026</v>
      </c>
      <c r="G561" s="12" t="s">
        <v>143</v>
      </c>
      <c r="H561" s="10" t="n">
        <f aca="false">IF(EXACT(F561,G561),0,1)</f>
        <v>0</v>
      </c>
      <c r="I561" s="10" t="str">
        <f aca="false">IF(ABS(H561)&lt;=0.000001,"PASS","FAIL")</f>
        <v>PASS</v>
      </c>
      <c r="J561" s="10" t="s">
        <v>2144</v>
      </c>
    </row>
    <row r="562" customFormat="false" ht="15" hidden="false" customHeight="false" outlineLevel="0" collapsed="false">
      <c r="A562" s="10" t="s">
        <v>2277</v>
      </c>
      <c r="B562" s="10" t="s">
        <v>1099</v>
      </c>
      <c r="C562" s="10" t="s">
        <v>2278</v>
      </c>
      <c r="D562" s="10" t="s">
        <v>1124</v>
      </c>
      <c r="E562" s="10" t="s">
        <v>144</v>
      </c>
      <c r="F562" s="10" t="str">
        <f aca="false">Guidance_Accuracy!E138</f>
        <v>Revenue</v>
      </c>
      <c r="G562" s="12" t="s">
        <v>24</v>
      </c>
      <c r="H562" s="10" t="n">
        <f aca="false">IF(EXACT(F562,G562),0,1)</f>
        <v>0</v>
      </c>
      <c r="I562" s="10" t="str">
        <f aca="false">IF(ABS(H562)&lt;=0.000001,"PASS","FAIL")</f>
        <v>PASS</v>
      </c>
      <c r="J562" s="10" t="s">
        <v>2144</v>
      </c>
    </row>
    <row r="563" customFormat="false" ht="15" hidden="false" customHeight="false" outlineLevel="0" collapsed="false">
      <c r="A563" s="10" t="s">
        <v>2279</v>
      </c>
      <c r="B563" s="10" t="s">
        <v>1099</v>
      </c>
      <c r="C563" s="10" t="s">
        <v>2280</v>
      </c>
      <c r="D563" s="10" t="s">
        <v>1124</v>
      </c>
      <c r="E563" s="10" t="s">
        <v>144</v>
      </c>
      <c r="F563" s="10" t="str">
        <f aca="false">Guidance_Accuracy!H138</f>
        <v>USD millions</v>
      </c>
      <c r="G563" s="12" t="s">
        <v>301</v>
      </c>
      <c r="H563" s="10" t="n">
        <f aca="false">IF(EXACT(F563,G563),0,1)</f>
        <v>0</v>
      </c>
      <c r="I563" s="10" t="str">
        <f aca="false">IF(ABS(H563)&lt;=0.000001,"PASS","FAIL")</f>
        <v>PASS</v>
      </c>
      <c r="J563" s="10" t="s">
        <v>2144</v>
      </c>
    </row>
    <row r="564" customFormat="false" ht="15" hidden="false" customHeight="false" outlineLevel="0" collapsed="false">
      <c r="A564" s="10" t="s">
        <v>2281</v>
      </c>
      <c r="B564" s="10" t="s">
        <v>1099</v>
      </c>
      <c r="C564" s="10" t="s">
        <v>2282</v>
      </c>
      <c r="D564" s="10" t="s">
        <v>1124</v>
      </c>
      <c r="E564" s="10" t="s">
        <v>144</v>
      </c>
      <c r="F564" s="14" t="n">
        <f aca="false">Guidance_Accuracy!F138</f>
        <v>354</v>
      </c>
      <c r="G564" s="12" t="n">
        <v>354</v>
      </c>
      <c r="H564" s="10" t="n">
        <f aca="false">F564-G564</f>
        <v>0</v>
      </c>
      <c r="I564" s="10" t="str">
        <f aca="false">IF(ABS(H564)&lt;=0.000001,"PASS","FAIL")</f>
        <v>PASS</v>
      </c>
      <c r="J564" s="10" t="s">
        <v>2155</v>
      </c>
    </row>
    <row r="565" customFormat="false" ht="15" hidden="false" customHeight="false" outlineLevel="0" collapsed="false">
      <c r="A565" s="10" t="s">
        <v>2283</v>
      </c>
      <c r="B565" s="10" t="s">
        <v>1099</v>
      </c>
      <c r="C565" s="10" t="s">
        <v>2284</v>
      </c>
      <c r="D565" s="10" t="s">
        <v>1124</v>
      </c>
      <c r="E565" s="10" t="s">
        <v>144</v>
      </c>
      <c r="F565" s="14" t="n">
        <f aca="false">Guidance_Accuracy!G138</f>
        <v>356</v>
      </c>
      <c r="G565" s="12" t="n">
        <v>356</v>
      </c>
      <c r="H565" s="10" t="n">
        <f aca="false">F565-G565</f>
        <v>0</v>
      </c>
      <c r="I565" s="10" t="str">
        <f aca="false">IF(ABS(H565)&lt;=0.000001,"PASS","FAIL")</f>
        <v>PASS</v>
      </c>
      <c r="J565" s="10" t="s">
        <v>2158</v>
      </c>
    </row>
    <row r="566" customFormat="false" ht="15" hidden="false" customHeight="false" outlineLevel="0" collapsed="false">
      <c r="A566" s="10" t="s">
        <v>2285</v>
      </c>
      <c r="B566" s="10" t="s">
        <v>1099</v>
      </c>
      <c r="C566" s="10" t="s">
        <v>2286</v>
      </c>
      <c r="D566" s="10" t="s">
        <v>1124</v>
      </c>
      <c r="E566" s="10" t="s">
        <v>307</v>
      </c>
      <c r="F566" s="24" t="n">
        <f aca="false">Guidance_Accuracy!B139</f>
        <v>46225</v>
      </c>
      <c r="G566" s="11" t="n">
        <v>46225</v>
      </c>
      <c r="H566" s="10" t="n">
        <f aca="false">F566-G566</f>
        <v>0</v>
      </c>
      <c r="I566" s="10" t="str">
        <f aca="false">IF(ABS(H566)&lt;=0.000001,"PASS","FAIL")</f>
        <v>PASS</v>
      </c>
      <c r="J566" s="10" t="s">
        <v>2144</v>
      </c>
    </row>
    <row r="567" customFormat="false" ht="15" hidden="false" customHeight="false" outlineLevel="0" collapsed="false">
      <c r="A567" s="10" t="s">
        <v>2287</v>
      </c>
      <c r="B567" s="10" t="s">
        <v>1099</v>
      </c>
      <c r="C567" s="10" t="s">
        <v>2288</v>
      </c>
      <c r="D567" s="10" t="s">
        <v>1124</v>
      </c>
      <c r="E567" s="10" t="s">
        <v>307</v>
      </c>
      <c r="F567" s="10" t="str">
        <f aca="false">Guidance_Accuracy!C139</f>
        <v>Interim update (6-K, no results)</v>
      </c>
      <c r="G567" s="12" t="s">
        <v>308</v>
      </c>
      <c r="H567" s="10" t="n">
        <f aca="false">IF(EXACT(F567,G567),0,1)</f>
        <v>0</v>
      </c>
      <c r="I567" s="10" t="str">
        <f aca="false">IF(ABS(H567)&lt;=0.000001,"PASS","FAIL")</f>
        <v>PASS</v>
      </c>
      <c r="J567" s="10" t="s">
        <v>2144</v>
      </c>
    </row>
    <row r="568" customFormat="false" ht="15" hidden="false" customHeight="false" outlineLevel="0" collapsed="false">
      <c r="A568" s="10" t="s">
        <v>2289</v>
      </c>
      <c r="B568" s="10" t="s">
        <v>1099</v>
      </c>
      <c r="C568" s="10" t="s">
        <v>2290</v>
      </c>
      <c r="D568" s="10" t="s">
        <v>1124</v>
      </c>
      <c r="E568" s="10" t="s">
        <v>307</v>
      </c>
      <c r="F568" s="10" t="str">
        <f aca="false">Guidance_Accuracy!D139</f>
        <v>FY 2026</v>
      </c>
      <c r="G568" s="12" t="s">
        <v>300</v>
      </c>
      <c r="H568" s="10" t="n">
        <f aca="false">IF(EXACT(F568,G568),0,1)</f>
        <v>0</v>
      </c>
      <c r="I568" s="10" t="str">
        <f aca="false">IF(ABS(H568)&lt;=0.000001,"PASS","FAIL")</f>
        <v>PASS</v>
      </c>
      <c r="J568" s="10" t="s">
        <v>2144</v>
      </c>
    </row>
    <row r="569" customFormat="false" ht="15" hidden="false" customHeight="false" outlineLevel="0" collapsed="false">
      <c r="A569" s="10" t="s">
        <v>2291</v>
      </c>
      <c r="B569" s="10" t="s">
        <v>1099</v>
      </c>
      <c r="C569" s="10" t="s">
        <v>2292</v>
      </c>
      <c r="D569" s="10" t="s">
        <v>1124</v>
      </c>
      <c r="E569" s="10" t="s">
        <v>307</v>
      </c>
      <c r="F569" s="10" t="str">
        <f aca="false">Guidance_Accuracy!E139</f>
        <v>FY 2026 adjusted free cash flow margin (%)</v>
      </c>
      <c r="G569" s="12" t="s">
        <v>309</v>
      </c>
      <c r="H569" s="10" t="n">
        <f aca="false">IF(EXACT(F569,G569),0,1)</f>
        <v>0</v>
      </c>
      <c r="I569" s="10" t="str">
        <f aca="false">IF(ABS(H569)&lt;=0.000001,"PASS","FAIL")</f>
        <v>PASS</v>
      </c>
      <c r="J569" s="10" t="s">
        <v>2144</v>
      </c>
    </row>
    <row r="570" customFormat="false" ht="15" hidden="false" customHeight="false" outlineLevel="0" collapsed="false">
      <c r="A570" s="10" t="s">
        <v>2293</v>
      </c>
      <c r="B570" s="10" t="s">
        <v>1099</v>
      </c>
      <c r="C570" s="10" t="s">
        <v>2294</v>
      </c>
      <c r="D570" s="10" t="s">
        <v>1124</v>
      </c>
      <c r="E570" s="10" t="s">
        <v>307</v>
      </c>
      <c r="F570" s="10" t="str">
        <f aca="false">Guidance_Accuracy!H139</f>
        <v>percentage</v>
      </c>
      <c r="G570" s="12" t="s">
        <v>310</v>
      </c>
      <c r="H570" s="10" t="n">
        <f aca="false">IF(EXACT(F570,G570),0,1)</f>
        <v>0</v>
      </c>
      <c r="I570" s="10" t="str">
        <f aca="false">IF(ABS(H570)&lt;=0.000001,"PASS","FAIL")</f>
        <v>PASS</v>
      </c>
      <c r="J570" s="10" t="s">
        <v>2144</v>
      </c>
    </row>
    <row r="571" customFormat="false" ht="15" hidden="false" customHeight="false" outlineLevel="0" collapsed="false">
      <c r="A571" s="10" t="s">
        <v>2295</v>
      </c>
      <c r="B571" s="10" t="s">
        <v>1099</v>
      </c>
      <c r="C571" s="10" t="s">
        <v>2296</v>
      </c>
      <c r="D571" s="10" t="s">
        <v>1124</v>
      </c>
      <c r="E571" s="10" t="s">
        <v>307</v>
      </c>
      <c r="F571" s="16" t="n">
        <f aca="false">Guidance_Accuracy!F139</f>
        <v>0.19</v>
      </c>
      <c r="G571" s="12" t="n">
        <v>0.19</v>
      </c>
      <c r="H571" s="26" t="n">
        <f aca="false">F571-G571</f>
        <v>0</v>
      </c>
      <c r="I571" s="10" t="str">
        <f aca="false">IF(ABS(H571)&lt;=0.000001,"PASS","FAIL")</f>
        <v>PASS</v>
      </c>
      <c r="J571" s="10" t="s">
        <v>2155</v>
      </c>
    </row>
    <row r="572" customFormat="false" ht="15" hidden="false" customHeight="false" outlineLevel="0" collapsed="false">
      <c r="A572" s="10" t="s">
        <v>2297</v>
      </c>
      <c r="B572" s="10" t="s">
        <v>1099</v>
      </c>
      <c r="C572" s="10" t="s">
        <v>2298</v>
      </c>
      <c r="D572" s="10" t="s">
        <v>1124</v>
      </c>
      <c r="E572" s="10" t="s">
        <v>307</v>
      </c>
      <c r="F572" s="16" t="n">
        <f aca="false">Guidance_Accuracy!G139</f>
        <v>0.2</v>
      </c>
      <c r="G572" s="12" t="n">
        <v>0.2</v>
      </c>
      <c r="H572" s="26" t="n">
        <f aca="false">F572-G572</f>
        <v>0</v>
      </c>
      <c r="I572" s="10" t="str">
        <f aca="false">IF(ABS(H572)&lt;=0.000001,"PASS","FAIL")</f>
        <v>PASS</v>
      </c>
      <c r="J572" s="10" t="s">
        <v>2158</v>
      </c>
    </row>
    <row r="573" customFormat="false" ht="15" hidden="false" customHeight="false" outlineLevel="0" collapsed="false">
      <c r="A573" s="10" t="s">
        <v>2299</v>
      </c>
      <c r="B573" s="10" t="s">
        <v>1099</v>
      </c>
      <c r="C573" s="10" t="s">
        <v>2300</v>
      </c>
      <c r="D573" s="10" t="s">
        <v>1124</v>
      </c>
      <c r="E573" s="10" t="s">
        <v>312</v>
      </c>
      <c r="F573" s="24" t="n">
        <f aca="false">Guidance_Accuracy!B140</f>
        <v>46225</v>
      </c>
      <c r="G573" s="11" t="n">
        <v>46225</v>
      </c>
      <c r="H573" s="10" t="n">
        <f aca="false">F573-G573</f>
        <v>0</v>
      </c>
      <c r="I573" s="10" t="str">
        <f aca="false">IF(ABS(H573)&lt;=0.000001,"PASS","FAIL")</f>
        <v>PASS</v>
      </c>
      <c r="J573" s="10" t="s">
        <v>2144</v>
      </c>
    </row>
    <row r="574" customFormat="false" ht="15" hidden="false" customHeight="false" outlineLevel="0" collapsed="false">
      <c r="A574" s="10" t="s">
        <v>2301</v>
      </c>
      <c r="B574" s="10" t="s">
        <v>1099</v>
      </c>
      <c r="C574" s="10" t="s">
        <v>2302</v>
      </c>
      <c r="D574" s="10" t="s">
        <v>1124</v>
      </c>
      <c r="E574" s="10" t="s">
        <v>312</v>
      </c>
      <c r="F574" s="10" t="str">
        <f aca="false">Guidance_Accuracy!C140</f>
        <v>Interim update (6-K, no results)</v>
      </c>
      <c r="G574" s="12" t="s">
        <v>308</v>
      </c>
      <c r="H574" s="10" t="n">
        <f aca="false">IF(EXACT(F574,G574),0,1)</f>
        <v>0</v>
      </c>
      <c r="I574" s="10" t="str">
        <f aca="false">IF(ABS(H574)&lt;=0.000001,"PASS","FAIL")</f>
        <v>PASS</v>
      </c>
      <c r="J574" s="10" t="s">
        <v>2144</v>
      </c>
    </row>
    <row r="575" customFormat="false" ht="15" hidden="false" customHeight="false" outlineLevel="0" collapsed="false">
      <c r="A575" s="10" t="s">
        <v>2303</v>
      </c>
      <c r="B575" s="10" t="s">
        <v>1099</v>
      </c>
      <c r="C575" s="10" t="s">
        <v>2304</v>
      </c>
      <c r="D575" s="10" t="s">
        <v>1124</v>
      </c>
      <c r="E575" s="10" t="s">
        <v>312</v>
      </c>
      <c r="F575" s="10" t="str">
        <f aca="false">Guidance_Accuracy!D140</f>
        <v>FY 2026</v>
      </c>
      <c r="G575" s="12" t="s">
        <v>300</v>
      </c>
      <c r="H575" s="10" t="n">
        <f aca="false">IF(EXACT(F575,G575),0,1)</f>
        <v>0</v>
      </c>
      <c r="I575" s="10" t="str">
        <f aca="false">IF(ABS(H575)&lt;=0.000001,"PASS","FAIL")</f>
        <v>PASS</v>
      </c>
      <c r="J575" s="10" t="s">
        <v>2144</v>
      </c>
    </row>
    <row r="576" customFormat="false" ht="15" hidden="false" customHeight="false" outlineLevel="0" collapsed="false">
      <c r="A576" s="10" t="s">
        <v>2305</v>
      </c>
      <c r="B576" s="10" t="s">
        <v>1099</v>
      </c>
      <c r="C576" s="10" t="s">
        <v>2306</v>
      </c>
      <c r="D576" s="10" t="s">
        <v>1124</v>
      </c>
      <c r="E576" s="10" t="s">
        <v>312</v>
      </c>
      <c r="F576" s="10" t="str">
        <f aca="false">Guidance_Accuracy!E140</f>
        <v>FY 2026 non-GAAP operating margin (%)</v>
      </c>
      <c r="G576" s="12" t="s">
        <v>313</v>
      </c>
      <c r="H576" s="10" t="n">
        <f aca="false">IF(EXACT(F576,G576),0,1)</f>
        <v>0</v>
      </c>
      <c r="I576" s="10" t="str">
        <f aca="false">IF(ABS(H576)&lt;=0.000001,"PASS","FAIL")</f>
        <v>PASS</v>
      </c>
      <c r="J576" s="10" t="s">
        <v>2144</v>
      </c>
    </row>
    <row r="577" customFormat="false" ht="15" hidden="false" customHeight="false" outlineLevel="0" collapsed="false">
      <c r="A577" s="10" t="s">
        <v>2307</v>
      </c>
      <c r="B577" s="10" t="s">
        <v>1099</v>
      </c>
      <c r="C577" s="10" t="s">
        <v>2308</v>
      </c>
      <c r="D577" s="10" t="s">
        <v>1124</v>
      </c>
      <c r="E577" s="10" t="s">
        <v>312</v>
      </c>
      <c r="F577" s="10" t="str">
        <f aca="false">Guidance_Accuracy!H140</f>
        <v>percentage</v>
      </c>
      <c r="G577" s="12" t="s">
        <v>310</v>
      </c>
      <c r="H577" s="10" t="n">
        <f aca="false">IF(EXACT(F577,G577),0,1)</f>
        <v>0</v>
      </c>
      <c r="I577" s="10" t="str">
        <f aca="false">IF(ABS(H577)&lt;=0.000001,"PASS","FAIL")</f>
        <v>PASS</v>
      </c>
      <c r="J577" s="10" t="s">
        <v>2144</v>
      </c>
    </row>
    <row r="578" customFormat="false" ht="15" hidden="false" customHeight="false" outlineLevel="0" collapsed="false">
      <c r="A578" s="10" t="s">
        <v>2309</v>
      </c>
      <c r="B578" s="10" t="s">
        <v>1099</v>
      </c>
      <c r="C578" s="10" t="s">
        <v>2310</v>
      </c>
      <c r="D578" s="10" t="s">
        <v>1124</v>
      </c>
      <c r="E578" s="10" t="s">
        <v>312</v>
      </c>
      <c r="F578" s="16" t="n">
        <f aca="false">Guidance_Accuracy!F140</f>
        <v>0.15</v>
      </c>
      <c r="G578" s="12" t="n">
        <v>0.15</v>
      </c>
      <c r="H578" s="26" t="n">
        <f aca="false">F578-G578</f>
        <v>0</v>
      </c>
      <c r="I578" s="10" t="str">
        <f aca="false">IF(ABS(H578)&lt;=0.000001,"PASS","FAIL")</f>
        <v>PASS</v>
      </c>
      <c r="J578" s="10" t="s">
        <v>2155</v>
      </c>
    </row>
    <row r="579" customFormat="false" ht="15" hidden="false" customHeight="false" outlineLevel="0" collapsed="false">
      <c r="A579" s="10" t="s">
        <v>2311</v>
      </c>
      <c r="B579" s="10" t="s">
        <v>1099</v>
      </c>
      <c r="C579" s="10" t="s">
        <v>2312</v>
      </c>
      <c r="D579" s="10" t="s">
        <v>1124</v>
      </c>
      <c r="E579" s="10" t="s">
        <v>312</v>
      </c>
      <c r="F579" s="16" t="n">
        <f aca="false">Guidance_Accuracy!G140</f>
        <v>0.15</v>
      </c>
      <c r="G579" s="12" t="n">
        <v>0.15</v>
      </c>
      <c r="H579" s="26" t="n">
        <f aca="false">F579-G579</f>
        <v>0</v>
      </c>
      <c r="I579" s="10" t="str">
        <f aca="false">IF(ABS(H579)&lt;=0.000001,"PASS","FAIL")</f>
        <v>PASS</v>
      </c>
      <c r="J579" s="10" t="s">
        <v>2158</v>
      </c>
    </row>
    <row r="580" customFormat="false" ht="15" hidden="false" customHeight="false" outlineLevel="0" collapsed="false">
      <c r="A580" s="10" t="s">
        <v>2313</v>
      </c>
      <c r="B580" s="10" t="s">
        <v>1099</v>
      </c>
      <c r="C580" s="10" t="s">
        <v>2314</v>
      </c>
      <c r="D580" s="10" t="s">
        <v>1124</v>
      </c>
      <c r="E580" s="10" t="s">
        <v>314</v>
      </c>
      <c r="F580" s="24" t="n">
        <f aca="false">Guidance_Accuracy!B141</f>
        <v>46225</v>
      </c>
      <c r="G580" s="11" t="n">
        <v>46225</v>
      </c>
      <c r="H580" s="10" t="n">
        <f aca="false">F580-G580</f>
        <v>0</v>
      </c>
      <c r="I580" s="10" t="str">
        <f aca="false">IF(ABS(H580)&lt;=0.000001,"PASS","FAIL")</f>
        <v>PASS</v>
      </c>
      <c r="J580" s="10" t="s">
        <v>2144</v>
      </c>
    </row>
    <row r="581" customFormat="false" ht="15" hidden="false" customHeight="false" outlineLevel="0" collapsed="false">
      <c r="A581" s="10" t="s">
        <v>2315</v>
      </c>
      <c r="B581" s="10" t="s">
        <v>1099</v>
      </c>
      <c r="C581" s="10" t="s">
        <v>2316</v>
      </c>
      <c r="D581" s="10" t="s">
        <v>1124</v>
      </c>
      <c r="E581" s="10" t="s">
        <v>314</v>
      </c>
      <c r="F581" s="10" t="str">
        <f aca="false">Guidance_Accuracy!C141</f>
        <v>Interim update (6-K, no results)</v>
      </c>
      <c r="G581" s="12" t="s">
        <v>308</v>
      </c>
      <c r="H581" s="10" t="n">
        <f aca="false">IF(EXACT(F581,G581),0,1)</f>
        <v>0</v>
      </c>
      <c r="I581" s="10" t="str">
        <f aca="false">IF(ABS(H581)&lt;=0.000001,"PASS","FAIL")</f>
        <v>PASS</v>
      </c>
      <c r="J581" s="10" t="s">
        <v>2144</v>
      </c>
    </row>
    <row r="582" customFormat="false" ht="15" hidden="false" customHeight="false" outlineLevel="0" collapsed="false">
      <c r="A582" s="10" t="s">
        <v>2317</v>
      </c>
      <c r="B582" s="10" t="s">
        <v>1099</v>
      </c>
      <c r="C582" s="10" t="s">
        <v>2318</v>
      </c>
      <c r="D582" s="10" t="s">
        <v>1124</v>
      </c>
      <c r="E582" s="10" t="s">
        <v>314</v>
      </c>
      <c r="F582" s="10" t="str">
        <f aca="false">Guidance_Accuracy!D141</f>
        <v>FY 2026</v>
      </c>
      <c r="G582" s="12" t="s">
        <v>300</v>
      </c>
      <c r="H582" s="10" t="n">
        <f aca="false">IF(EXACT(F582,G582),0,1)</f>
        <v>0</v>
      </c>
      <c r="I582" s="10" t="str">
        <f aca="false">IF(ABS(H582)&lt;=0.000001,"PASS","FAIL")</f>
        <v>PASS</v>
      </c>
      <c r="J582" s="10" t="s">
        <v>2144</v>
      </c>
    </row>
    <row r="583" customFormat="false" ht="15" hidden="false" customHeight="false" outlineLevel="0" collapsed="false">
      <c r="A583" s="10" t="s">
        <v>2319</v>
      </c>
      <c r="B583" s="10" t="s">
        <v>1099</v>
      </c>
      <c r="C583" s="10" t="s">
        <v>2320</v>
      </c>
      <c r="D583" s="10" t="s">
        <v>1124</v>
      </c>
      <c r="E583" s="10" t="s">
        <v>314</v>
      </c>
      <c r="F583" s="10" t="str">
        <f aca="false">Guidance_Accuracy!E141</f>
        <v>FY 2026 revenue growth (year-over-year, %)</v>
      </c>
      <c r="G583" s="12" t="s">
        <v>315</v>
      </c>
      <c r="H583" s="10" t="n">
        <f aca="false">IF(EXACT(F583,G583),0,1)</f>
        <v>0</v>
      </c>
      <c r="I583" s="10" t="str">
        <f aca="false">IF(ABS(H583)&lt;=0.000001,"PASS","FAIL")</f>
        <v>PASS</v>
      </c>
      <c r="J583" s="10" t="s">
        <v>2144</v>
      </c>
    </row>
    <row r="584" customFormat="false" ht="15" hidden="false" customHeight="false" outlineLevel="0" collapsed="false">
      <c r="A584" s="10" t="s">
        <v>2321</v>
      </c>
      <c r="B584" s="10" t="s">
        <v>1099</v>
      </c>
      <c r="C584" s="10" t="s">
        <v>2322</v>
      </c>
      <c r="D584" s="10" t="s">
        <v>1124</v>
      </c>
      <c r="E584" s="10" t="s">
        <v>314</v>
      </c>
      <c r="F584" s="10" t="str">
        <f aca="false">Guidance_Accuracy!H141</f>
        <v>percentage</v>
      </c>
      <c r="G584" s="12" t="s">
        <v>310</v>
      </c>
      <c r="H584" s="10" t="n">
        <f aca="false">IF(EXACT(F584,G584),0,1)</f>
        <v>0</v>
      </c>
      <c r="I584" s="10" t="str">
        <f aca="false">IF(ABS(H584)&lt;=0.000001,"PASS","FAIL")</f>
        <v>PASS</v>
      </c>
      <c r="J584" s="10" t="s">
        <v>2144</v>
      </c>
    </row>
    <row r="585" customFormat="false" ht="15" hidden="false" customHeight="false" outlineLevel="0" collapsed="false">
      <c r="A585" s="10" t="s">
        <v>2323</v>
      </c>
      <c r="B585" s="10" t="s">
        <v>1099</v>
      </c>
      <c r="C585" s="10" t="s">
        <v>2324</v>
      </c>
      <c r="D585" s="10" t="s">
        <v>1124</v>
      </c>
      <c r="E585" s="10" t="s">
        <v>314</v>
      </c>
      <c r="F585" s="16" t="n">
        <f aca="false">Guidance_Accuracy!F141</f>
        <v>0.19</v>
      </c>
      <c r="G585" s="12" t="n">
        <v>0.19</v>
      </c>
      <c r="H585" s="26" t="n">
        <f aca="false">F585-G585</f>
        <v>0</v>
      </c>
      <c r="I585" s="10" t="str">
        <f aca="false">IF(ABS(H585)&lt;=0.000001,"PASS","FAIL")</f>
        <v>PASS</v>
      </c>
      <c r="J585" s="10" t="s">
        <v>2155</v>
      </c>
    </row>
    <row r="586" customFormat="false" ht="15" hidden="false" customHeight="false" outlineLevel="0" collapsed="false">
      <c r="A586" s="10" t="s">
        <v>2325</v>
      </c>
      <c r="B586" s="10" t="s">
        <v>1099</v>
      </c>
      <c r="C586" s="10" t="s">
        <v>2326</v>
      </c>
      <c r="D586" s="10" t="s">
        <v>1124</v>
      </c>
      <c r="E586" s="10" t="s">
        <v>314</v>
      </c>
      <c r="F586" s="16" t="n">
        <f aca="false">Guidance_Accuracy!G141</f>
        <v>0.2</v>
      </c>
      <c r="G586" s="12" t="n">
        <v>0.2</v>
      </c>
      <c r="H586" s="26" t="n">
        <f aca="false">F586-G586</f>
        <v>0</v>
      </c>
      <c r="I586" s="10" t="str">
        <f aca="false">IF(ABS(H586)&lt;=0.000001,"PASS","FAIL")</f>
        <v>PASS</v>
      </c>
      <c r="J586" s="10" t="s">
        <v>2158</v>
      </c>
    </row>
    <row r="587" customFormat="false" ht="15" hidden="false" customHeight="false" outlineLevel="0" collapsed="false">
      <c r="A587" s="10" t="s">
        <v>2327</v>
      </c>
      <c r="B587" s="10" t="s">
        <v>1099</v>
      </c>
      <c r="C587" s="10" t="s">
        <v>2328</v>
      </c>
      <c r="D587" s="10" t="s">
        <v>1124</v>
      </c>
      <c r="E587" s="10" t="s">
        <v>316</v>
      </c>
      <c r="F587" s="24" t="n">
        <f aca="false">Guidance_Accuracy!B142</f>
        <v>46244</v>
      </c>
      <c r="G587" s="11" t="n">
        <v>46244</v>
      </c>
      <c r="H587" s="10" t="n">
        <f aca="false">F587-G587</f>
        <v>0</v>
      </c>
      <c r="I587" s="10" t="str">
        <f aca="false">IF(ABS(H587)&lt;=0.000001,"PASS","FAIL")</f>
        <v>PASS</v>
      </c>
      <c r="J587" s="10" t="s">
        <v>2144</v>
      </c>
    </row>
    <row r="588" customFormat="false" ht="15" hidden="false" customHeight="false" outlineLevel="0" collapsed="false">
      <c r="A588" s="10" t="s">
        <v>2329</v>
      </c>
      <c r="B588" s="10" t="s">
        <v>1099</v>
      </c>
      <c r="C588" s="10" t="s">
        <v>2330</v>
      </c>
      <c r="D588" s="10" t="s">
        <v>1124</v>
      </c>
      <c r="E588" s="10" t="s">
        <v>316</v>
      </c>
      <c r="F588" s="10" t="str">
        <f aca="false">Guidance_Accuracy!C142</f>
        <v>Q2 2026</v>
      </c>
      <c r="G588" s="12" t="s">
        <v>143</v>
      </c>
      <c r="H588" s="10" t="n">
        <f aca="false">IF(EXACT(F588,G588),0,1)</f>
        <v>0</v>
      </c>
      <c r="I588" s="10" t="str">
        <f aca="false">IF(ABS(H588)&lt;=0.000001,"PASS","FAIL")</f>
        <v>PASS</v>
      </c>
      <c r="J588" s="10" t="s">
        <v>2144</v>
      </c>
    </row>
    <row r="589" customFormat="false" ht="15" hidden="false" customHeight="false" outlineLevel="0" collapsed="false">
      <c r="A589" s="10" t="s">
        <v>2331</v>
      </c>
      <c r="B589" s="10" t="s">
        <v>1099</v>
      </c>
      <c r="C589" s="10" t="s">
        <v>2332</v>
      </c>
      <c r="D589" s="10" t="s">
        <v>1124</v>
      </c>
      <c r="E589" s="10" t="s">
        <v>316</v>
      </c>
      <c r="F589" s="10" t="str">
        <f aca="false">Guidance_Accuracy!D142</f>
        <v>FY 2026</v>
      </c>
      <c r="G589" s="12" t="s">
        <v>300</v>
      </c>
      <c r="H589" s="10" t="n">
        <f aca="false">IF(EXACT(F589,G589),0,1)</f>
        <v>0</v>
      </c>
      <c r="I589" s="10" t="str">
        <f aca="false">IF(ABS(H589)&lt;=0.000001,"PASS","FAIL")</f>
        <v>PASS</v>
      </c>
      <c r="J589" s="10" t="s">
        <v>2144</v>
      </c>
    </row>
    <row r="590" customFormat="false" ht="15" hidden="false" customHeight="false" outlineLevel="0" collapsed="false">
      <c r="A590" s="10" t="s">
        <v>2333</v>
      </c>
      <c r="B590" s="10" t="s">
        <v>1099</v>
      </c>
      <c r="C590" s="10" t="s">
        <v>2334</v>
      </c>
      <c r="D590" s="10" t="s">
        <v>1124</v>
      </c>
      <c r="E590" s="10" t="s">
        <v>316</v>
      </c>
      <c r="F590" s="10" t="str">
        <f aca="false">Guidance_Accuracy!E142</f>
        <v>Adjusted free cash flow</v>
      </c>
      <c r="G590" s="12" t="s">
        <v>284</v>
      </c>
      <c r="H590" s="10" t="n">
        <f aca="false">IF(EXACT(F590,G590),0,1)</f>
        <v>0</v>
      </c>
      <c r="I590" s="10" t="str">
        <f aca="false">IF(ABS(H590)&lt;=0.000001,"PASS","FAIL")</f>
        <v>PASS</v>
      </c>
      <c r="J590" s="10" t="s">
        <v>2144</v>
      </c>
    </row>
    <row r="591" customFormat="false" ht="15" hidden="false" customHeight="false" outlineLevel="0" collapsed="false">
      <c r="A591" s="10" t="s">
        <v>2335</v>
      </c>
      <c r="B591" s="10" t="s">
        <v>1099</v>
      </c>
      <c r="C591" s="10" t="s">
        <v>2336</v>
      </c>
      <c r="D591" s="10" t="s">
        <v>1124</v>
      </c>
      <c r="E591" s="10" t="s">
        <v>316</v>
      </c>
      <c r="F591" s="10" t="str">
        <f aca="false">Guidance_Accuracy!H142</f>
        <v>USD millions</v>
      </c>
      <c r="G591" s="12" t="s">
        <v>301</v>
      </c>
      <c r="H591" s="10" t="n">
        <f aca="false">IF(EXACT(F591,G591),0,1)</f>
        <v>0</v>
      </c>
      <c r="I591" s="10" t="str">
        <f aca="false">IF(ABS(H591)&lt;=0.000001,"PASS","FAIL")</f>
        <v>PASS</v>
      </c>
      <c r="J591" s="10" t="s">
        <v>2144</v>
      </c>
    </row>
    <row r="592" customFormat="false" ht="15" hidden="false" customHeight="false" outlineLevel="0" collapsed="false">
      <c r="A592" s="10" t="s">
        <v>2337</v>
      </c>
      <c r="B592" s="10" t="s">
        <v>1099</v>
      </c>
      <c r="C592" s="10" t="s">
        <v>2338</v>
      </c>
      <c r="D592" s="10" t="s">
        <v>1124</v>
      </c>
      <c r="E592" s="10" t="s">
        <v>316</v>
      </c>
      <c r="F592" s="14" t="n">
        <f aca="false">Guidance_Accuracy!F142</f>
        <v>280</v>
      </c>
      <c r="G592" s="12" t="n">
        <v>280</v>
      </c>
      <c r="H592" s="10" t="n">
        <f aca="false">F592-G592</f>
        <v>0</v>
      </c>
      <c r="I592" s="10" t="str">
        <f aca="false">IF(ABS(H592)&lt;=0.000001,"PASS","FAIL")</f>
        <v>PASS</v>
      </c>
      <c r="J592" s="10" t="s">
        <v>2155</v>
      </c>
    </row>
    <row r="593" customFormat="false" ht="15" hidden="false" customHeight="false" outlineLevel="0" collapsed="false">
      <c r="A593" s="10" t="s">
        <v>2339</v>
      </c>
      <c r="B593" s="10" t="s">
        <v>1099</v>
      </c>
      <c r="C593" s="10" t="s">
        <v>2340</v>
      </c>
      <c r="D593" s="10" t="s">
        <v>1124</v>
      </c>
      <c r="E593" s="10" t="s">
        <v>316</v>
      </c>
      <c r="F593" s="14" t="n">
        <f aca="false">Guidance_Accuracy!G142</f>
        <v>290</v>
      </c>
      <c r="G593" s="12" t="n">
        <v>290</v>
      </c>
      <c r="H593" s="10" t="n">
        <f aca="false">F593-G593</f>
        <v>0</v>
      </c>
      <c r="I593" s="10" t="str">
        <f aca="false">IF(ABS(H593)&lt;=0.000001,"PASS","FAIL")</f>
        <v>PASS</v>
      </c>
      <c r="J593" s="10" t="s">
        <v>2158</v>
      </c>
    </row>
    <row r="594" customFormat="false" ht="15" hidden="false" customHeight="false" outlineLevel="0" collapsed="false">
      <c r="A594" s="10" t="s">
        <v>2341</v>
      </c>
      <c r="B594" s="10" t="s">
        <v>1099</v>
      </c>
      <c r="C594" s="10" t="s">
        <v>2342</v>
      </c>
      <c r="D594" s="10" t="s">
        <v>1124</v>
      </c>
      <c r="E594" s="10" t="s">
        <v>317</v>
      </c>
      <c r="F594" s="24" t="n">
        <f aca="false">Guidance_Accuracy!B143</f>
        <v>46244</v>
      </c>
      <c r="G594" s="11" t="n">
        <v>46244</v>
      </c>
      <c r="H594" s="10" t="n">
        <f aca="false">F594-G594</f>
        <v>0</v>
      </c>
      <c r="I594" s="10" t="str">
        <f aca="false">IF(ABS(H594)&lt;=0.000001,"PASS","FAIL")</f>
        <v>PASS</v>
      </c>
      <c r="J594" s="10" t="s">
        <v>2144</v>
      </c>
    </row>
    <row r="595" customFormat="false" ht="15" hidden="false" customHeight="false" outlineLevel="0" collapsed="false">
      <c r="A595" s="10" t="s">
        <v>2343</v>
      </c>
      <c r="B595" s="10" t="s">
        <v>1099</v>
      </c>
      <c r="C595" s="10" t="s">
        <v>2344</v>
      </c>
      <c r="D595" s="10" t="s">
        <v>1124</v>
      </c>
      <c r="E595" s="10" t="s">
        <v>317</v>
      </c>
      <c r="F595" s="10" t="str">
        <f aca="false">Guidance_Accuracy!C143</f>
        <v>Q2 2026</v>
      </c>
      <c r="G595" s="12" t="s">
        <v>143</v>
      </c>
      <c r="H595" s="10" t="n">
        <f aca="false">IF(EXACT(F595,G595),0,1)</f>
        <v>0</v>
      </c>
      <c r="I595" s="10" t="str">
        <f aca="false">IF(ABS(H595)&lt;=0.000001,"PASS","FAIL")</f>
        <v>PASS</v>
      </c>
      <c r="J595" s="10" t="s">
        <v>2144</v>
      </c>
    </row>
    <row r="596" customFormat="false" ht="15" hidden="false" customHeight="false" outlineLevel="0" collapsed="false">
      <c r="A596" s="10" t="s">
        <v>2345</v>
      </c>
      <c r="B596" s="10" t="s">
        <v>1099</v>
      </c>
      <c r="C596" s="10" t="s">
        <v>2346</v>
      </c>
      <c r="D596" s="10" t="s">
        <v>1124</v>
      </c>
      <c r="E596" s="10" t="s">
        <v>317</v>
      </c>
      <c r="F596" s="10" t="str">
        <f aca="false">Guidance_Accuracy!D143</f>
        <v>FY 2026</v>
      </c>
      <c r="G596" s="12" t="s">
        <v>300</v>
      </c>
      <c r="H596" s="10" t="n">
        <f aca="false">IF(EXACT(F596,G596),0,1)</f>
        <v>0</v>
      </c>
      <c r="I596" s="10" t="str">
        <f aca="false">IF(ABS(H596)&lt;=0.000001,"PASS","FAIL")</f>
        <v>PASS</v>
      </c>
      <c r="J596" s="10" t="s">
        <v>2144</v>
      </c>
    </row>
    <row r="597" customFormat="false" ht="15" hidden="false" customHeight="false" outlineLevel="0" collapsed="false">
      <c r="A597" s="10" t="s">
        <v>2347</v>
      </c>
      <c r="B597" s="10" t="s">
        <v>1099</v>
      </c>
      <c r="C597" s="10" t="s">
        <v>2348</v>
      </c>
      <c r="D597" s="10" t="s">
        <v>1124</v>
      </c>
      <c r="E597" s="10" t="s">
        <v>317</v>
      </c>
      <c r="F597" s="10" t="str">
        <f aca="false">Guidance_Accuracy!E143</f>
        <v>Non-GAAP operating income (loss)</v>
      </c>
      <c r="G597" s="12" t="s">
        <v>151</v>
      </c>
      <c r="H597" s="10" t="n">
        <f aca="false">IF(EXACT(F597,G597),0,1)</f>
        <v>0</v>
      </c>
      <c r="I597" s="10" t="str">
        <f aca="false">IF(ABS(H597)&lt;=0.000001,"PASS","FAIL")</f>
        <v>PASS</v>
      </c>
      <c r="J597" s="10" t="s">
        <v>2144</v>
      </c>
    </row>
    <row r="598" customFormat="false" ht="15" hidden="false" customHeight="false" outlineLevel="0" collapsed="false">
      <c r="A598" s="10" t="s">
        <v>2349</v>
      </c>
      <c r="B598" s="10" t="s">
        <v>1099</v>
      </c>
      <c r="C598" s="10" t="s">
        <v>2350</v>
      </c>
      <c r="D598" s="10" t="s">
        <v>1124</v>
      </c>
      <c r="E598" s="10" t="s">
        <v>317</v>
      </c>
      <c r="F598" s="10" t="str">
        <f aca="false">Guidance_Accuracy!H143</f>
        <v>USD millions</v>
      </c>
      <c r="G598" s="12" t="s">
        <v>301</v>
      </c>
      <c r="H598" s="10" t="n">
        <f aca="false">IF(EXACT(F598,G598),0,1)</f>
        <v>0</v>
      </c>
      <c r="I598" s="10" t="str">
        <f aca="false">IF(ABS(H598)&lt;=0.000001,"PASS","FAIL")</f>
        <v>PASS</v>
      </c>
      <c r="J598" s="10" t="s">
        <v>2144</v>
      </c>
    </row>
    <row r="599" customFormat="false" ht="15" hidden="false" customHeight="false" outlineLevel="0" collapsed="false">
      <c r="A599" s="10" t="s">
        <v>2351</v>
      </c>
      <c r="B599" s="10" t="s">
        <v>1099</v>
      </c>
      <c r="C599" s="10" t="s">
        <v>2352</v>
      </c>
      <c r="D599" s="10" t="s">
        <v>1124</v>
      </c>
      <c r="E599" s="10" t="s">
        <v>317</v>
      </c>
      <c r="F599" s="14" t="n">
        <f aca="false">Guidance_Accuracy!F143</f>
        <v>230</v>
      </c>
      <c r="G599" s="12" t="n">
        <v>230</v>
      </c>
      <c r="H599" s="10" t="n">
        <f aca="false">F599-G599</f>
        <v>0</v>
      </c>
      <c r="I599" s="10" t="str">
        <f aca="false">IF(ABS(H599)&lt;=0.000001,"PASS","FAIL")</f>
        <v>PASS</v>
      </c>
      <c r="J599" s="10" t="s">
        <v>2155</v>
      </c>
    </row>
    <row r="600" customFormat="false" ht="15" hidden="false" customHeight="false" outlineLevel="0" collapsed="false">
      <c r="A600" s="10" t="s">
        <v>2353</v>
      </c>
      <c r="B600" s="10" t="s">
        <v>1099</v>
      </c>
      <c r="C600" s="10" t="s">
        <v>2354</v>
      </c>
      <c r="D600" s="10" t="s">
        <v>1124</v>
      </c>
      <c r="E600" s="10" t="s">
        <v>317</v>
      </c>
      <c r="F600" s="14" t="n">
        <f aca="false">Guidance_Accuracy!G143</f>
        <v>234</v>
      </c>
      <c r="G600" s="12" t="n">
        <v>234</v>
      </c>
      <c r="H600" s="10" t="n">
        <f aca="false">F600-G600</f>
        <v>0</v>
      </c>
      <c r="I600" s="10" t="str">
        <f aca="false">IF(ABS(H600)&lt;=0.000001,"PASS","FAIL")</f>
        <v>PASS</v>
      </c>
      <c r="J600" s="10" t="s">
        <v>2158</v>
      </c>
    </row>
    <row r="601" customFormat="false" ht="15" hidden="false" customHeight="false" outlineLevel="0" collapsed="false">
      <c r="A601" s="10" t="s">
        <v>2355</v>
      </c>
      <c r="B601" s="10" t="s">
        <v>1099</v>
      </c>
      <c r="C601" s="10" t="s">
        <v>2356</v>
      </c>
      <c r="D601" s="10" t="s">
        <v>1124</v>
      </c>
      <c r="E601" s="10" t="s">
        <v>318</v>
      </c>
      <c r="F601" s="24" t="n">
        <f aca="false">Guidance_Accuracy!B144</f>
        <v>46244</v>
      </c>
      <c r="G601" s="11" t="n">
        <v>46244</v>
      </c>
      <c r="H601" s="10" t="n">
        <f aca="false">F601-G601</f>
        <v>0</v>
      </c>
      <c r="I601" s="10" t="str">
        <f aca="false">IF(ABS(H601)&lt;=0.000001,"PASS","FAIL")</f>
        <v>PASS</v>
      </c>
      <c r="J601" s="10" t="s">
        <v>2144</v>
      </c>
    </row>
    <row r="602" customFormat="false" ht="15" hidden="false" customHeight="false" outlineLevel="0" collapsed="false">
      <c r="A602" s="10" t="s">
        <v>2357</v>
      </c>
      <c r="B602" s="10" t="s">
        <v>1099</v>
      </c>
      <c r="C602" s="10" t="s">
        <v>2358</v>
      </c>
      <c r="D602" s="10" t="s">
        <v>1124</v>
      </c>
      <c r="E602" s="10" t="s">
        <v>318</v>
      </c>
      <c r="F602" s="10" t="str">
        <f aca="false">Guidance_Accuracy!C144</f>
        <v>Q2 2026</v>
      </c>
      <c r="G602" s="12" t="s">
        <v>143</v>
      </c>
      <c r="H602" s="10" t="n">
        <f aca="false">IF(EXACT(F602,G602),0,1)</f>
        <v>0</v>
      </c>
      <c r="I602" s="10" t="str">
        <f aca="false">IF(ABS(H602)&lt;=0.000001,"PASS","FAIL")</f>
        <v>PASS</v>
      </c>
      <c r="J602" s="10" t="s">
        <v>2144</v>
      </c>
    </row>
    <row r="603" customFormat="false" ht="15" hidden="false" customHeight="false" outlineLevel="0" collapsed="false">
      <c r="A603" s="10" t="s">
        <v>2359</v>
      </c>
      <c r="B603" s="10" t="s">
        <v>1099</v>
      </c>
      <c r="C603" s="10" t="s">
        <v>2360</v>
      </c>
      <c r="D603" s="10" t="s">
        <v>1124</v>
      </c>
      <c r="E603" s="10" t="s">
        <v>318</v>
      </c>
      <c r="F603" s="10" t="str">
        <f aca="false">Guidance_Accuracy!D144</f>
        <v>FY 2026</v>
      </c>
      <c r="G603" s="12" t="s">
        <v>300</v>
      </c>
      <c r="H603" s="10" t="n">
        <f aca="false">IF(EXACT(F603,G603),0,1)</f>
        <v>0</v>
      </c>
      <c r="I603" s="10" t="str">
        <f aca="false">IF(ABS(H603)&lt;=0.000001,"PASS","FAIL")</f>
        <v>PASS</v>
      </c>
      <c r="J603" s="10" t="s">
        <v>2144</v>
      </c>
    </row>
    <row r="604" customFormat="false" ht="15" hidden="false" customHeight="false" outlineLevel="0" collapsed="false">
      <c r="A604" s="10" t="s">
        <v>2361</v>
      </c>
      <c r="B604" s="10" t="s">
        <v>1099</v>
      </c>
      <c r="C604" s="10" t="s">
        <v>2362</v>
      </c>
      <c r="D604" s="10" t="s">
        <v>1124</v>
      </c>
      <c r="E604" s="10" t="s">
        <v>318</v>
      </c>
      <c r="F604" s="10" t="str">
        <f aca="false">Guidance_Accuracy!E144</f>
        <v>Revenue</v>
      </c>
      <c r="G604" s="12" t="s">
        <v>24</v>
      </c>
      <c r="H604" s="10" t="n">
        <f aca="false">IF(EXACT(F604,G604),0,1)</f>
        <v>0</v>
      </c>
      <c r="I604" s="10" t="str">
        <f aca="false">IF(ABS(H604)&lt;=0.000001,"PASS","FAIL")</f>
        <v>PASS</v>
      </c>
      <c r="J604" s="10" t="s">
        <v>2144</v>
      </c>
    </row>
    <row r="605" customFormat="false" ht="15" hidden="false" customHeight="false" outlineLevel="0" collapsed="false">
      <c r="A605" s="10" t="s">
        <v>2363</v>
      </c>
      <c r="B605" s="10" t="s">
        <v>1099</v>
      </c>
      <c r="C605" s="10" t="s">
        <v>2364</v>
      </c>
      <c r="D605" s="10" t="s">
        <v>1124</v>
      </c>
      <c r="E605" s="10" t="s">
        <v>318</v>
      </c>
      <c r="F605" s="10" t="str">
        <f aca="false">Guidance_Accuracy!H144</f>
        <v>USD millions</v>
      </c>
      <c r="G605" s="12" t="s">
        <v>301</v>
      </c>
      <c r="H605" s="10" t="n">
        <f aca="false">IF(EXACT(F605,G605),0,1)</f>
        <v>0</v>
      </c>
      <c r="I605" s="10" t="str">
        <f aca="false">IF(ABS(H605)&lt;=0.000001,"PASS","FAIL")</f>
        <v>PASS</v>
      </c>
      <c r="J605" s="10" t="s">
        <v>2144</v>
      </c>
    </row>
    <row r="606" customFormat="false" ht="15" hidden="false" customHeight="false" outlineLevel="0" collapsed="false">
      <c r="A606" s="10" t="s">
        <v>2365</v>
      </c>
      <c r="B606" s="10" t="s">
        <v>1099</v>
      </c>
      <c r="C606" s="10" t="s">
        <v>2366</v>
      </c>
      <c r="D606" s="10" t="s">
        <v>1124</v>
      </c>
      <c r="E606" s="10" t="s">
        <v>318</v>
      </c>
      <c r="F606" s="14" t="n">
        <f aca="false">Guidance_Accuracy!F144</f>
        <v>1466</v>
      </c>
      <c r="G606" s="12" t="n">
        <v>1466</v>
      </c>
      <c r="H606" s="10" t="n">
        <f aca="false">F606-G606</f>
        <v>0</v>
      </c>
      <c r="I606" s="10" t="str">
        <f aca="false">IF(ABS(H606)&lt;=0.000001,"PASS","FAIL")</f>
        <v>PASS</v>
      </c>
      <c r="J606" s="10" t="s">
        <v>2155</v>
      </c>
    </row>
    <row r="607" customFormat="false" ht="15" hidden="false" customHeight="false" outlineLevel="0" collapsed="false">
      <c r="A607" s="10" t="s">
        <v>2367</v>
      </c>
      <c r="B607" s="10" t="s">
        <v>1099</v>
      </c>
      <c r="C607" s="10" t="s">
        <v>2368</v>
      </c>
      <c r="D607" s="10" t="s">
        <v>1124</v>
      </c>
      <c r="E607" s="10" t="s">
        <v>318</v>
      </c>
      <c r="F607" s="14" t="n">
        <f aca="false">Guidance_Accuracy!G144</f>
        <v>1474</v>
      </c>
      <c r="G607" s="12" t="n">
        <v>1474</v>
      </c>
      <c r="H607" s="10" t="n">
        <f aca="false">F607-G607</f>
        <v>0</v>
      </c>
      <c r="I607" s="10" t="str">
        <f aca="false">IF(ABS(H607)&lt;=0.000001,"PASS","FAIL")</f>
        <v>PASS</v>
      </c>
      <c r="J607" s="10" t="s">
        <v>2158</v>
      </c>
    </row>
    <row r="608" customFormat="false" ht="15" hidden="false" customHeight="false" outlineLevel="0" collapsed="false">
      <c r="A608" s="10" t="s">
        <v>2369</v>
      </c>
      <c r="B608" s="10" t="s">
        <v>1099</v>
      </c>
      <c r="C608" s="10" t="s">
        <v>2370</v>
      </c>
      <c r="D608" s="10" t="s">
        <v>1124</v>
      </c>
      <c r="E608" s="10" t="s">
        <v>319</v>
      </c>
      <c r="F608" s="24" t="n">
        <f aca="false">Guidance_Accuracy!B145</f>
        <v>46244</v>
      </c>
      <c r="G608" s="11" t="n">
        <v>46244</v>
      </c>
      <c r="H608" s="10" t="n">
        <f aca="false">F608-G608</f>
        <v>0</v>
      </c>
      <c r="I608" s="10" t="str">
        <f aca="false">IF(ABS(H608)&lt;=0.000001,"PASS","FAIL")</f>
        <v>PASS</v>
      </c>
      <c r="J608" s="10" t="s">
        <v>2144</v>
      </c>
    </row>
    <row r="609" customFormat="false" ht="15" hidden="false" customHeight="false" outlineLevel="0" collapsed="false">
      <c r="A609" s="10" t="s">
        <v>2371</v>
      </c>
      <c r="B609" s="10" t="s">
        <v>1099</v>
      </c>
      <c r="C609" s="10" t="s">
        <v>2372</v>
      </c>
      <c r="D609" s="10" t="s">
        <v>1124</v>
      </c>
      <c r="E609" s="10" t="s">
        <v>319</v>
      </c>
      <c r="F609" s="10" t="str">
        <f aca="false">Guidance_Accuracy!C145</f>
        <v>Q2 2026</v>
      </c>
      <c r="G609" s="12" t="s">
        <v>143</v>
      </c>
      <c r="H609" s="10" t="n">
        <f aca="false">IF(EXACT(F609,G609),0,1)</f>
        <v>0</v>
      </c>
      <c r="I609" s="10" t="str">
        <f aca="false">IF(ABS(H609)&lt;=0.000001,"PASS","FAIL")</f>
        <v>PASS</v>
      </c>
      <c r="J609" s="10" t="s">
        <v>2144</v>
      </c>
    </row>
    <row r="610" customFormat="false" ht="15" hidden="false" customHeight="false" outlineLevel="0" collapsed="false">
      <c r="A610" s="10" t="s">
        <v>2373</v>
      </c>
      <c r="B610" s="10" t="s">
        <v>1099</v>
      </c>
      <c r="C610" s="10" t="s">
        <v>2374</v>
      </c>
      <c r="D610" s="10" t="s">
        <v>1124</v>
      </c>
      <c r="E610" s="10" t="s">
        <v>319</v>
      </c>
      <c r="F610" s="10" t="str">
        <f aca="false">Guidance_Accuracy!D145</f>
        <v>Q3 2026</v>
      </c>
      <c r="G610" s="12" t="s">
        <v>320</v>
      </c>
      <c r="H610" s="10" t="n">
        <f aca="false">IF(EXACT(F610,G610),0,1)</f>
        <v>0</v>
      </c>
      <c r="I610" s="10" t="str">
        <f aca="false">IF(ABS(H610)&lt;=0.000001,"PASS","FAIL")</f>
        <v>PASS</v>
      </c>
      <c r="J610" s="10" t="s">
        <v>2144</v>
      </c>
    </row>
    <row r="611" customFormat="false" ht="15" hidden="false" customHeight="false" outlineLevel="0" collapsed="false">
      <c r="A611" s="10" t="s">
        <v>2375</v>
      </c>
      <c r="B611" s="10" t="s">
        <v>1099</v>
      </c>
      <c r="C611" s="10" t="s">
        <v>2376</v>
      </c>
      <c r="D611" s="10" t="s">
        <v>1124</v>
      </c>
      <c r="E611" s="10" t="s">
        <v>319</v>
      </c>
      <c r="F611" s="10" t="str">
        <f aca="false">Guidance_Accuracy!E145</f>
        <v>Non-GAAP operating income (loss)</v>
      </c>
      <c r="G611" s="12" t="s">
        <v>151</v>
      </c>
      <c r="H611" s="10" t="n">
        <f aca="false">IF(EXACT(F611,G611),0,1)</f>
        <v>0</v>
      </c>
      <c r="I611" s="10" t="str">
        <f aca="false">IF(ABS(H611)&lt;=0.000001,"PASS","FAIL")</f>
        <v>PASS</v>
      </c>
      <c r="J611" s="10" t="s">
        <v>2144</v>
      </c>
    </row>
    <row r="612" customFormat="false" ht="15" hidden="false" customHeight="false" outlineLevel="0" collapsed="false">
      <c r="A612" s="10" t="s">
        <v>2377</v>
      </c>
      <c r="B612" s="10" t="s">
        <v>1099</v>
      </c>
      <c r="C612" s="10" t="s">
        <v>2378</v>
      </c>
      <c r="D612" s="10" t="s">
        <v>1124</v>
      </c>
      <c r="E612" s="10" t="s">
        <v>319</v>
      </c>
      <c r="F612" s="10" t="str">
        <f aca="false">Guidance_Accuracy!H145</f>
        <v>USD millions</v>
      </c>
      <c r="G612" s="12" t="s">
        <v>301</v>
      </c>
      <c r="H612" s="10" t="n">
        <f aca="false">IF(EXACT(F612,G612),0,1)</f>
        <v>0</v>
      </c>
      <c r="I612" s="10" t="str">
        <f aca="false">IF(ABS(H612)&lt;=0.000001,"PASS","FAIL")</f>
        <v>PASS</v>
      </c>
      <c r="J612" s="10" t="s">
        <v>2144</v>
      </c>
    </row>
    <row r="613" customFormat="false" ht="15" hidden="false" customHeight="false" outlineLevel="0" collapsed="false">
      <c r="A613" s="10" t="s">
        <v>2379</v>
      </c>
      <c r="B613" s="10" t="s">
        <v>1099</v>
      </c>
      <c r="C613" s="10" t="s">
        <v>2380</v>
      </c>
      <c r="D613" s="10" t="s">
        <v>1124</v>
      </c>
      <c r="E613" s="10" t="s">
        <v>319</v>
      </c>
      <c r="F613" s="14" t="n">
        <f aca="false">Guidance_Accuracy!F145</f>
        <v>57</v>
      </c>
      <c r="G613" s="12" t="n">
        <v>57</v>
      </c>
      <c r="H613" s="10" t="n">
        <f aca="false">F613-G613</f>
        <v>0</v>
      </c>
      <c r="I613" s="10" t="str">
        <f aca="false">IF(ABS(H613)&lt;=0.000001,"PASS","FAIL")</f>
        <v>PASS</v>
      </c>
      <c r="J613" s="10" t="s">
        <v>2155</v>
      </c>
    </row>
    <row r="614" customFormat="false" ht="15" hidden="false" customHeight="false" outlineLevel="0" collapsed="false">
      <c r="A614" s="10" t="s">
        <v>2381</v>
      </c>
      <c r="B614" s="10" t="s">
        <v>1099</v>
      </c>
      <c r="C614" s="10" t="s">
        <v>2382</v>
      </c>
      <c r="D614" s="10" t="s">
        <v>1124</v>
      </c>
      <c r="E614" s="10" t="s">
        <v>319</v>
      </c>
      <c r="F614" s="14" t="n">
        <f aca="false">Guidance_Accuracy!G145</f>
        <v>59</v>
      </c>
      <c r="G614" s="12" t="n">
        <v>59</v>
      </c>
      <c r="H614" s="10" t="n">
        <f aca="false">F614-G614</f>
        <v>0</v>
      </c>
      <c r="I614" s="10" t="str">
        <f aca="false">IF(ABS(H614)&lt;=0.000001,"PASS","FAIL")</f>
        <v>PASS</v>
      </c>
      <c r="J614" s="10" t="s">
        <v>2158</v>
      </c>
    </row>
    <row r="615" customFormat="false" ht="15" hidden="false" customHeight="false" outlineLevel="0" collapsed="false">
      <c r="A615" s="10" t="s">
        <v>2383</v>
      </c>
      <c r="B615" s="10" t="s">
        <v>1099</v>
      </c>
      <c r="C615" s="10" t="s">
        <v>2384</v>
      </c>
      <c r="D615" s="10" t="s">
        <v>1124</v>
      </c>
      <c r="E615" s="10" t="s">
        <v>321</v>
      </c>
      <c r="F615" s="24" t="n">
        <f aca="false">Guidance_Accuracy!B146</f>
        <v>46244</v>
      </c>
      <c r="G615" s="11" t="n">
        <v>46244</v>
      </c>
      <c r="H615" s="10" t="n">
        <f aca="false">F615-G615</f>
        <v>0</v>
      </c>
      <c r="I615" s="10" t="str">
        <f aca="false">IF(ABS(H615)&lt;=0.000001,"PASS","FAIL")</f>
        <v>PASS</v>
      </c>
      <c r="J615" s="10" t="s">
        <v>2144</v>
      </c>
    </row>
    <row r="616" customFormat="false" ht="15" hidden="false" customHeight="false" outlineLevel="0" collapsed="false">
      <c r="A616" s="10" t="s">
        <v>2385</v>
      </c>
      <c r="B616" s="10" t="s">
        <v>1099</v>
      </c>
      <c r="C616" s="10" t="s">
        <v>2386</v>
      </c>
      <c r="D616" s="10" t="s">
        <v>1124</v>
      </c>
      <c r="E616" s="10" t="s">
        <v>321</v>
      </c>
      <c r="F616" s="10" t="str">
        <f aca="false">Guidance_Accuracy!C146</f>
        <v>Q2 2026</v>
      </c>
      <c r="G616" s="12" t="s">
        <v>143</v>
      </c>
      <c r="H616" s="10" t="n">
        <f aca="false">IF(EXACT(F616,G616),0,1)</f>
        <v>0</v>
      </c>
      <c r="I616" s="10" t="str">
        <f aca="false">IF(ABS(H616)&lt;=0.000001,"PASS","FAIL")</f>
        <v>PASS</v>
      </c>
      <c r="J616" s="10" t="s">
        <v>2144</v>
      </c>
    </row>
    <row r="617" customFormat="false" ht="15" hidden="false" customHeight="false" outlineLevel="0" collapsed="false">
      <c r="A617" s="10" t="s">
        <v>2387</v>
      </c>
      <c r="B617" s="10" t="s">
        <v>1099</v>
      </c>
      <c r="C617" s="10" t="s">
        <v>2388</v>
      </c>
      <c r="D617" s="10" t="s">
        <v>1124</v>
      </c>
      <c r="E617" s="10" t="s">
        <v>321</v>
      </c>
      <c r="F617" s="10" t="str">
        <f aca="false">Guidance_Accuracy!D146</f>
        <v>Q3 2026</v>
      </c>
      <c r="G617" s="12" t="s">
        <v>320</v>
      </c>
      <c r="H617" s="10" t="n">
        <f aca="false">IF(EXACT(F617,G617),0,1)</f>
        <v>0</v>
      </c>
      <c r="I617" s="10" t="str">
        <f aca="false">IF(ABS(H617)&lt;=0.000001,"PASS","FAIL")</f>
        <v>PASS</v>
      </c>
      <c r="J617" s="10" t="s">
        <v>2144</v>
      </c>
    </row>
    <row r="618" customFormat="false" ht="15" hidden="false" customHeight="false" outlineLevel="0" collapsed="false">
      <c r="A618" s="10" t="s">
        <v>2389</v>
      </c>
      <c r="B618" s="10" t="s">
        <v>1099</v>
      </c>
      <c r="C618" s="10" t="s">
        <v>2390</v>
      </c>
      <c r="D618" s="10" t="s">
        <v>1124</v>
      </c>
      <c r="E618" s="10" t="s">
        <v>321</v>
      </c>
      <c r="F618" s="10" t="str">
        <f aca="false">Guidance_Accuracy!E146</f>
        <v>Revenue</v>
      </c>
      <c r="G618" s="12" t="s">
        <v>24</v>
      </c>
      <c r="H618" s="10" t="n">
        <f aca="false">IF(EXACT(F618,G618),0,1)</f>
        <v>0</v>
      </c>
      <c r="I618" s="10" t="str">
        <f aca="false">IF(ABS(H618)&lt;=0.000001,"PASS","FAIL")</f>
        <v>PASS</v>
      </c>
      <c r="J618" s="10" t="s">
        <v>2144</v>
      </c>
    </row>
    <row r="619" customFormat="false" ht="15" hidden="false" customHeight="false" outlineLevel="0" collapsed="false">
      <c r="A619" s="10" t="s">
        <v>2391</v>
      </c>
      <c r="B619" s="10" t="s">
        <v>1099</v>
      </c>
      <c r="C619" s="10" t="s">
        <v>2392</v>
      </c>
      <c r="D619" s="10" t="s">
        <v>1124</v>
      </c>
      <c r="E619" s="10" t="s">
        <v>321</v>
      </c>
      <c r="F619" s="10" t="str">
        <f aca="false">Guidance_Accuracy!H146</f>
        <v>USD millions</v>
      </c>
      <c r="G619" s="12" t="s">
        <v>301</v>
      </c>
      <c r="H619" s="10" t="n">
        <f aca="false">IF(EXACT(F619,G619),0,1)</f>
        <v>0</v>
      </c>
      <c r="I619" s="10" t="str">
        <f aca="false">IF(ABS(H619)&lt;=0.000001,"PASS","FAIL")</f>
        <v>PASS</v>
      </c>
      <c r="J619" s="10" t="s">
        <v>2144</v>
      </c>
    </row>
    <row r="620" customFormat="false" ht="15" hidden="false" customHeight="false" outlineLevel="0" collapsed="false">
      <c r="A620" s="10" t="s">
        <v>2393</v>
      </c>
      <c r="B620" s="10" t="s">
        <v>1099</v>
      </c>
      <c r="C620" s="10" t="s">
        <v>2394</v>
      </c>
      <c r="D620" s="10" t="s">
        <v>1124</v>
      </c>
      <c r="E620" s="10" t="s">
        <v>321</v>
      </c>
      <c r="F620" s="14" t="n">
        <f aca="false">Guidance_Accuracy!F146</f>
        <v>368</v>
      </c>
      <c r="G620" s="12" t="n">
        <v>368</v>
      </c>
      <c r="H620" s="10" t="n">
        <f aca="false">F620-G620</f>
        <v>0</v>
      </c>
      <c r="I620" s="10" t="str">
        <f aca="false">IF(ABS(H620)&lt;=0.000001,"PASS","FAIL")</f>
        <v>PASS</v>
      </c>
      <c r="J620" s="10" t="s">
        <v>2155</v>
      </c>
    </row>
    <row r="621" customFormat="false" ht="15" hidden="false" customHeight="false" outlineLevel="0" collapsed="false">
      <c r="A621" s="10" t="s">
        <v>2395</v>
      </c>
      <c r="B621" s="10" t="s">
        <v>1099</v>
      </c>
      <c r="C621" s="10" t="s">
        <v>2396</v>
      </c>
      <c r="D621" s="10" t="s">
        <v>1124</v>
      </c>
      <c r="E621" s="10" t="s">
        <v>321</v>
      </c>
      <c r="F621" s="14" t="n">
        <f aca="false">Guidance_Accuracy!G146</f>
        <v>370</v>
      </c>
      <c r="G621" s="12" t="n">
        <v>370</v>
      </c>
      <c r="H621" s="10" t="n">
        <f aca="false">F621-G621</f>
        <v>0</v>
      </c>
      <c r="I621" s="10" t="str">
        <f aca="false">IF(ABS(H621)&lt;=0.000001,"PASS","FAIL")</f>
        <v>PASS</v>
      </c>
      <c r="J621" s="10" t="s">
        <v>2158</v>
      </c>
    </row>
    <row r="622" customFormat="false" ht="15" hidden="false" customHeight="false" outlineLevel="0" collapsed="false">
      <c r="A622" s="10" t="s">
        <v>2397</v>
      </c>
      <c r="B622" s="10" t="s">
        <v>1102</v>
      </c>
      <c r="C622" s="10" t="s">
        <v>2398</v>
      </c>
      <c r="D622" s="10" t="s">
        <v>1136</v>
      </c>
      <c r="E622" s="10" t="s">
        <v>348</v>
      </c>
      <c r="F622" s="22" t="n">
        <f aca="false">Growth_Decomposition!B6</f>
        <v>58972</v>
      </c>
      <c r="G622" s="12" t="n">
        <v>58972</v>
      </c>
      <c r="H622" s="10" t="n">
        <f aca="false">F622-G622</f>
        <v>0</v>
      </c>
      <c r="I622" s="10" t="str">
        <f aca="false">IF(ABS(H622)&lt;=0.000001,"PASS","FAIL")</f>
        <v>PASS</v>
      </c>
      <c r="J622" s="10" t="s">
        <v>2399</v>
      </c>
    </row>
    <row r="623" customFormat="false" ht="15" hidden="false" customHeight="false" outlineLevel="0" collapsed="false">
      <c r="A623" s="10" t="s">
        <v>2400</v>
      </c>
      <c r="B623" s="10" t="s">
        <v>1103</v>
      </c>
      <c r="C623" s="10" t="s">
        <v>2401</v>
      </c>
      <c r="D623" s="10" t="s">
        <v>1136</v>
      </c>
      <c r="E623" s="10" t="s">
        <v>349</v>
      </c>
      <c r="F623" s="27" t="n">
        <f aca="false">Growth_Decomposition!W6</f>
        <v>335</v>
      </c>
      <c r="G623" s="12" t="n">
        <v>335</v>
      </c>
      <c r="H623" s="10" t="n">
        <f aca="false">F623-G623</f>
        <v>0</v>
      </c>
      <c r="I623" s="10" t="str">
        <f aca="false">IF(ABS(H623)&lt;=0.000001,"PASS","FAIL")</f>
        <v>PASS</v>
      </c>
      <c r="J623" s="10" t="s">
        <v>2402</v>
      </c>
    </row>
    <row r="624" customFormat="false" ht="15" hidden="false" customHeight="false" outlineLevel="0" collapsed="false">
      <c r="A624" s="10" t="s">
        <v>2403</v>
      </c>
      <c r="B624" s="10" t="s">
        <v>1103</v>
      </c>
      <c r="C624" s="10" t="s">
        <v>2404</v>
      </c>
      <c r="D624" s="10" t="s">
        <v>1136</v>
      </c>
      <c r="E624" s="10" t="s">
        <v>350</v>
      </c>
      <c r="F624" s="16" t="n">
        <f aca="false">Growth_Decomposition!AL6</f>
        <v>0.12</v>
      </c>
      <c r="G624" s="12" t="n">
        <v>0.12</v>
      </c>
      <c r="H624" s="26" t="n">
        <f aca="false">F624-G624</f>
        <v>0</v>
      </c>
      <c r="I624" s="10" t="str">
        <f aca="false">IF(ABS(H624)&lt;=0.000001,"PASS","FAIL")</f>
        <v>PASS</v>
      </c>
      <c r="J624" s="10" t="s">
        <v>2405</v>
      </c>
    </row>
    <row r="625" customFormat="false" ht="15" hidden="false" customHeight="false" outlineLevel="0" collapsed="false">
      <c r="A625" s="10" t="s">
        <v>2406</v>
      </c>
      <c r="B625" s="10" t="s">
        <v>1102</v>
      </c>
      <c r="C625" s="10" t="s">
        <v>2407</v>
      </c>
      <c r="D625" s="10" t="s">
        <v>1136</v>
      </c>
      <c r="E625" s="10" t="s">
        <v>352</v>
      </c>
      <c r="F625" s="22" t="n">
        <f aca="false">Growth_Decomposition!B7</f>
        <v>70615</v>
      </c>
      <c r="G625" s="12" t="n">
        <v>70615</v>
      </c>
      <c r="H625" s="10" t="n">
        <f aca="false">F625-G625</f>
        <v>0</v>
      </c>
      <c r="I625" s="10" t="str">
        <f aca="false">IF(ABS(H625)&lt;=0.000001,"PASS","FAIL")</f>
        <v>PASS</v>
      </c>
      <c r="J625" s="10" t="s">
        <v>2408</v>
      </c>
    </row>
    <row r="626" customFormat="false" ht="15" hidden="false" customHeight="false" outlineLevel="0" collapsed="false">
      <c r="A626" s="10" t="s">
        <v>2409</v>
      </c>
      <c r="B626" s="10" t="s">
        <v>1103</v>
      </c>
      <c r="C626" s="10" t="s">
        <v>2410</v>
      </c>
      <c r="D626" s="10" t="s">
        <v>1136</v>
      </c>
      <c r="E626" s="10" t="s">
        <v>2411</v>
      </c>
      <c r="F626" s="16" t="n">
        <f aca="false">Growth_Decomposition!J7</f>
        <v>1.25</v>
      </c>
      <c r="G626" s="12" t="n">
        <v>1.25</v>
      </c>
      <c r="H626" s="26" t="n">
        <f aca="false">F626-G626</f>
        <v>0</v>
      </c>
      <c r="I626" s="10" t="str">
        <f aca="false">IF(ABS(H626)&lt;=0.000001,"PASS","FAIL")</f>
        <v>PASS</v>
      </c>
      <c r="J626" s="10" t="s">
        <v>2412</v>
      </c>
    </row>
    <row r="627" customFormat="false" ht="15" hidden="false" customHeight="false" outlineLevel="0" collapsed="false">
      <c r="A627" s="10" t="s">
        <v>2413</v>
      </c>
      <c r="B627" s="10" t="s">
        <v>1103</v>
      </c>
      <c r="C627" s="10" t="s">
        <v>2414</v>
      </c>
      <c r="D627" s="10" t="s">
        <v>1136</v>
      </c>
      <c r="E627" s="10" t="s">
        <v>354</v>
      </c>
      <c r="F627" s="27" t="n">
        <f aca="false">Growth_Decomposition!W7</f>
        <v>470</v>
      </c>
      <c r="G627" s="12" t="n">
        <v>470</v>
      </c>
      <c r="H627" s="10" t="n">
        <f aca="false">F627-G627</f>
        <v>0</v>
      </c>
      <c r="I627" s="10" t="str">
        <f aca="false">IF(ABS(H627)&lt;=0.000001,"PASS","FAIL")</f>
        <v>PASS</v>
      </c>
      <c r="J627" s="10" t="s">
        <v>2415</v>
      </c>
    </row>
    <row r="628" customFormat="false" ht="15" hidden="false" customHeight="false" outlineLevel="0" collapsed="false">
      <c r="A628" s="10" t="s">
        <v>2416</v>
      </c>
      <c r="B628" s="10" t="s">
        <v>1102</v>
      </c>
      <c r="C628" s="10" t="s">
        <v>2417</v>
      </c>
      <c r="D628" s="10" t="s">
        <v>1136</v>
      </c>
      <c r="E628" s="10" t="s">
        <v>57</v>
      </c>
      <c r="F628" s="22" t="n">
        <f aca="false">Growth_Decomposition!B8</f>
        <v>83018</v>
      </c>
      <c r="G628" s="12" t="n">
        <v>83018</v>
      </c>
      <c r="H628" s="10" t="n">
        <f aca="false">F628-G628</f>
        <v>0</v>
      </c>
      <c r="I628" s="10" t="str">
        <f aca="false">IF(ABS(H628)&lt;=0.000001,"PASS","FAIL")</f>
        <v>PASS</v>
      </c>
      <c r="J628" s="10" t="s">
        <v>2418</v>
      </c>
    </row>
    <row r="629" customFormat="false" ht="15" hidden="false" customHeight="false" outlineLevel="0" collapsed="false">
      <c r="A629" s="10" t="s">
        <v>2419</v>
      </c>
      <c r="B629" s="10" t="s">
        <v>1103</v>
      </c>
      <c r="C629" s="10" t="s">
        <v>2420</v>
      </c>
      <c r="D629" s="10" t="s">
        <v>1136</v>
      </c>
      <c r="E629" s="10" t="s">
        <v>2421</v>
      </c>
      <c r="F629" s="16" t="n">
        <f aca="false">Growth_Decomposition!J8</f>
        <v>1.3</v>
      </c>
      <c r="G629" s="12" t="n">
        <v>1.3</v>
      </c>
      <c r="H629" s="26" t="n">
        <f aca="false">F629-G629</f>
        <v>0</v>
      </c>
      <c r="I629" s="10" t="str">
        <f aca="false">IF(ABS(H629)&lt;=0.000001,"PASS","FAIL")</f>
        <v>PASS</v>
      </c>
      <c r="J629" s="10" t="s">
        <v>2422</v>
      </c>
    </row>
    <row r="630" customFormat="false" ht="15" hidden="false" customHeight="false" outlineLevel="0" collapsed="false">
      <c r="A630" s="10" t="s">
        <v>2423</v>
      </c>
      <c r="B630" s="10" t="s">
        <v>1103</v>
      </c>
      <c r="C630" s="10" t="s">
        <v>2424</v>
      </c>
      <c r="D630" s="10" t="s">
        <v>1136</v>
      </c>
      <c r="E630" s="10" t="s">
        <v>357</v>
      </c>
      <c r="F630" s="27" t="n">
        <f aca="false">Growth_Decomposition!W8</f>
        <v>613</v>
      </c>
      <c r="G630" s="12" t="n">
        <v>613</v>
      </c>
      <c r="H630" s="10" t="n">
        <f aca="false">F630-G630</f>
        <v>0</v>
      </c>
      <c r="I630" s="10" t="str">
        <f aca="false">IF(ABS(H630)&lt;=0.000001,"PASS","FAIL")</f>
        <v>PASS</v>
      </c>
      <c r="J630" s="10" t="s">
        <v>2425</v>
      </c>
    </row>
    <row r="631" customFormat="false" ht="15" hidden="false" customHeight="false" outlineLevel="0" collapsed="false">
      <c r="A631" s="10" t="s">
        <v>2426</v>
      </c>
      <c r="B631" s="10" t="s">
        <v>1102</v>
      </c>
      <c r="C631" s="10" t="s">
        <v>2427</v>
      </c>
      <c r="D631" s="10" t="s">
        <v>1136</v>
      </c>
      <c r="E631" s="10" t="s">
        <v>61</v>
      </c>
      <c r="F631" s="22" t="n">
        <f aca="false">Growth_Decomposition!B9</f>
        <v>95545</v>
      </c>
      <c r="G631" s="12" t="n">
        <v>95545</v>
      </c>
      <c r="H631" s="10" t="n">
        <f aca="false">F631-G631</f>
        <v>0</v>
      </c>
      <c r="I631" s="10" t="str">
        <f aca="false">IF(ABS(H631)&lt;=0.000001,"PASS","FAIL")</f>
        <v>PASS</v>
      </c>
      <c r="J631" s="10" t="s">
        <v>2428</v>
      </c>
    </row>
    <row r="632" customFormat="false" ht="15" hidden="false" customHeight="false" outlineLevel="0" collapsed="false">
      <c r="A632" s="10" t="s">
        <v>2429</v>
      </c>
      <c r="B632" s="10" t="s">
        <v>1103</v>
      </c>
      <c r="C632" s="10" t="s">
        <v>2430</v>
      </c>
      <c r="D632" s="10" t="s">
        <v>1136</v>
      </c>
      <c r="E632" s="10" t="s">
        <v>2431</v>
      </c>
      <c r="F632" s="16" t="n">
        <f aca="false">Growth_Decomposition!G9</f>
        <v>1.2</v>
      </c>
      <c r="G632" s="12" t="n">
        <v>1.2</v>
      </c>
      <c r="H632" s="26" t="n">
        <f aca="false">F632-G632</f>
        <v>0</v>
      </c>
      <c r="I632" s="10" t="str">
        <f aca="false">IF(ABS(H632)&lt;=0.000001,"PASS","FAIL")</f>
        <v>PASS</v>
      </c>
      <c r="J632" s="10" t="s">
        <v>2432</v>
      </c>
    </row>
    <row r="633" customFormat="false" ht="15" hidden="false" customHeight="false" outlineLevel="0" collapsed="false">
      <c r="A633" s="10" t="s">
        <v>2433</v>
      </c>
      <c r="B633" s="10" t="s">
        <v>1103</v>
      </c>
      <c r="C633" s="10" t="s">
        <v>2434</v>
      </c>
      <c r="D633" s="10" t="s">
        <v>1136</v>
      </c>
      <c r="E633" s="10" t="s">
        <v>2435</v>
      </c>
      <c r="F633" s="16" t="n">
        <f aca="false">Growth_Decomposition!J9</f>
        <v>1.35</v>
      </c>
      <c r="G633" s="12" t="n">
        <v>1.35</v>
      </c>
      <c r="H633" s="26" t="n">
        <f aca="false">F633-G633</f>
        <v>0</v>
      </c>
      <c r="I633" s="10" t="str">
        <f aca="false">IF(ABS(H633)&lt;=0.000001,"PASS","FAIL")</f>
        <v>PASS</v>
      </c>
      <c r="J633" s="10" t="s">
        <v>2436</v>
      </c>
    </row>
    <row r="634" customFormat="false" ht="15" hidden="false" customHeight="false" outlineLevel="0" collapsed="false">
      <c r="A634" s="10" t="s">
        <v>2437</v>
      </c>
      <c r="B634" s="10" t="s">
        <v>1103</v>
      </c>
      <c r="C634" s="10" t="s">
        <v>2438</v>
      </c>
      <c r="D634" s="10" t="s">
        <v>1136</v>
      </c>
      <c r="E634" s="10" t="s">
        <v>361</v>
      </c>
      <c r="F634" s="27" t="n">
        <f aca="false">Growth_Decomposition!W9</f>
        <v>793</v>
      </c>
      <c r="G634" s="12" t="n">
        <v>793</v>
      </c>
      <c r="H634" s="10" t="n">
        <f aca="false">F634-G634</f>
        <v>0</v>
      </c>
      <c r="I634" s="10" t="str">
        <f aca="false">IF(ABS(H634)&lt;=0.000001,"PASS","FAIL")</f>
        <v>PASS</v>
      </c>
      <c r="J634" s="10" t="s">
        <v>2439</v>
      </c>
    </row>
    <row r="635" customFormat="false" ht="15" hidden="false" customHeight="false" outlineLevel="0" collapsed="false">
      <c r="A635" s="10" t="s">
        <v>2440</v>
      </c>
      <c r="B635" s="10" t="s">
        <v>1103</v>
      </c>
      <c r="C635" s="10" t="s">
        <v>2441</v>
      </c>
      <c r="D635" s="10" t="s">
        <v>1136</v>
      </c>
      <c r="E635" s="10" t="s">
        <v>362</v>
      </c>
      <c r="F635" s="16" t="n">
        <f aca="false">Growth_Decomposition!AI9</f>
        <v>0.72</v>
      </c>
      <c r="G635" s="12" t="n">
        <v>0.72</v>
      </c>
      <c r="H635" s="26" t="n">
        <f aca="false">F635-G635</f>
        <v>0</v>
      </c>
      <c r="I635" s="10" t="str">
        <f aca="false">IF(ABS(H635)&lt;=0.000001,"PASS","FAIL")</f>
        <v>PASS</v>
      </c>
      <c r="J635" s="10" t="s">
        <v>2442</v>
      </c>
    </row>
    <row r="636" customFormat="false" ht="15" hidden="false" customHeight="false" outlineLevel="0" collapsed="false">
      <c r="A636" s="10" t="s">
        <v>2443</v>
      </c>
      <c r="B636" s="10" t="s">
        <v>1102</v>
      </c>
      <c r="C636" s="10" t="s">
        <v>2444</v>
      </c>
      <c r="D636" s="10" t="s">
        <v>1136</v>
      </c>
      <c r="E636" s="10" t="s">
        <v>65</v>
      </c>
      <c r="F636" s="22" t="n">
        <f aca="false">Growth_Decomposition!B10</f>
        <v>108497</v>
      </c>
      <c r="G636" s="12" t="n">
        <v>108497</v>
      </c>
      <c r="H636" s="10" t="n">
        <f aca="false">F636-G636</f>
        <v>0</v>
      </c>
      <c r="I636" s="10" t="str">
        <f aca="false">IF(ABS(H636)&lt;=0.000001,"PASS","FAIL")</f>
        <v>PASS</v>
      </c>
      <c r="J636" s="10" t="s">
        <v>2445</v>
      </c>
    </row>
    <row r="637" customFormat="false" ht="15" hidden="false" customHeight="false" outlineLevel="0" collapsed="false">
      <c r="A637" s="10" t="s">
        <v>2446</v>
      </c>
      <c r="B637" s="10" t="s">
        <v>1103</v>
      </c>
      <c r="C637" s="10" t="s">
        <v>2447</v>
      </c>
      <c r="D637" s="10" t="s">
        <v>1136</v>
      </c>
      <c r="E637" s="10" t="s">
        <v>2448</v>
      </c>
      <c r="F637" s="16" t="n">
        <f aca="false">Growth_Decomposition!G10</f>
        <v>1.25</v>
      </c>
      <c r="G637" s="12" t="n">
        <v>1.25</v>
      </c>
      <c r="H637" s="26" t="n">
        <f aca="false">F637-G637</f>
        <v>0</v>
      </c>
      <c r="I637" s="10" t="str">
        <f aca="false">IF(ABS(H637)&lt;=0.000001,"PASS","FAIL")</f>
        <v>PASS</v>
      </c>
      <c r="J637" s="10" t="s">
        <v>2449</v>
      </c>
    </row>
    <row r="638" customFormat="false" ht="15" hidden="false" customHeight="false" outlineLevel="0" collapsed="false">
      <c r="A638" s="10" t="s">
        <v>2450</v>
      </c>
      <c r="B638" s="10" t="s">
        <v>1103</v>
      </c>
      <c r="C638" s="10" t="s">
        <v>2451</v>
      </c>
      <c r="D638" s="10" t="s">
        <v>1136</v>
      </c>
      <c r="E638" s="10" t="s">
        <v>2452</v>
      </c>
      <c r="F638" s="16" t="n">
        <f aca="false">Growth_Decomposition!J10</f>
        <v>1.35</v>
      </c>
      <c r="G638" s="12" t="n">
        <v>1.35</v>
      </c>
      <c r="H638" s="26" t="n">
        <f aca="false">F638-G638</f>
        <v>0</v>
      </c>
      <c r="I638" s="10" t="str">
        <f aca="false">IF(ABS(H638)&lt;=0.000001,"PASS","FAIL")</f>
        <v>PASS</v>
      </c>
      <c r="J638" s="10" t="s">
        <v>2453</v>
      </c>
    </row>
    <row r="639" customFormat="false" ht="15" hidden="false" customHeight="false" outlineLevel="0" collapsed="false">
      <c r="A639" s="10" t="s">
        <v>2454</v>
      </c>
      <c r="B639" s="10" t="s">
        <v>1103</v>
      </c>
      <c r="C639" s="10" t="s">
        <v>2455</v>
      </c>
      <c r="D639" s="10" t="s">
        <v>1136</v>
      </c>
      <c r="E639" s="10" t="s">
        <v>2456</v>
      </c>
      <c r="F639" s="16" t="n">
        <f aca="false">Growth_Decomposition!M10</f>
        <v>1.5</v>
      </c>
      <c r="G639" s="12" t="n">
        <v>1.5</v>
      </c>
      <c r="H639" s="26" t="n">
        <f aca="false">F639-G639</f>
        <v>0</v>
      </c>
      <c r="I639" s="10" t="str">
        <f aca="false">IF(ABS(H639)&lt;=0.000001,"PASS","FAIL")</f>
        <v>PASS</v>
      </c>
      <c r="J639" s="10" t="s">
        <v>2457</v>
      </c>
    </row>
    <row r="640" customFormat="false" ht="15" hidden="false" customHeight="false" outlineLevel="0" collapsed="false">
      <c r="A640" s="10" t="s">
        <v>2458</v>
      </c>
      <c r="B640" s="10" t="s">
        <v>1103</v>
      </c>
      <c r="C640" s="10" t="s">
        <v>2459</v>
      </c>
      <c r="D640" s="10" t="s">
        <v>1136</v>
      </c>
      <c r="E640" s="10" t="s">
        <v>367</v>
      </c>
      <c r="F640" s="27" t="n">
        <f aca="false">Growth_Decomposition!W10</f>
        <v>960</v>
      </c>
      <c r="G640" s="12" t="n">
        <v>960</v>
      </c>
      <c r="H640" s="10" t="n">
        <f aca="false">F640-G640</f>
        <v>0</v>
      </c>
      <c r="I640" s="10" t="str">
        <f aca="false">IF(ABS(H640)&lt;=0.000001,"PASS","FAIL")</f>
        <v>PASS</v>
      </c>
      <c r="J640" s="10" t="s">
        <v>2460</v>
      </c>
    </row>
    <row r="641" customFormat="false" ht="15" hidden="false" customHeight="false" outlineLevel="0" collapsed="false">
      <c r="A641" s="10" t="s">
        <v>2461</v>
      </c>
      <c r="B641" s="10" t="s">
        <v>1103</v>
      </c>
      <c r="C641" s="10" t="s">
        <v>2462</v>
      </c>
      <c r="D641" s="10" t="s">
        <v>1136</v>
      </c>
      <c r="E641" s="10" t="s">
        <v>368</v>
      </c>
      <c r="F641" s="16" t="n">
        <f aca="false">Growth_Decomposition!AL10</f>
        <v>0.22</v>
      </c>
      <c r="G641" s="12" t="n">
        <v>0.22</v>
      </c>
      <c r="H641" s="26" t="n">
        <f aca="false">F641-G641</f>
        <v>0</v>
      </c>
      <c r="I641" s="10" t="str">
        <f aca="false">IF(ABS(H641)&lt;=0.000001,"PASS","FAIL")</f>
        <v>PASS</v>
      </c>
      <c r="J641" s="10" t="s">
        <v>2463</v>
      </c>
    </row>
    <row r="642" customFormat="false" ht="15" hidden="false" customHeight="false" outlineLevel="0" collapsed="false">
      <c r="A642" s="10" t="s">
        <v>2464</v>
      </c>
      <c r="B642" s="10" t="s">
        <v>1102</v>
      </c>
      <c r="C642" s="10" t="s">
        <v>2465</v>
      </c>
      <c r="D642" s="10" t="s">
        <v>1136</v>
      </c>
      <c r="E642" s="10" t="s">
        <v>71</v>
      </c>
      <c r="F642" s="22" t="n">
        <f aca="false">Growth_Decomposition!B11</f>
        <v>123718</v>
      </c>
      <c r="G642" s="12" t="n">
        <v>123718</v>
      </c>
      <c r="H642" s="10" t="n">
        <f aca="false">F642-G642</f>
        <v>0</v>
      </c>
      <c r="I642" s="10" t="str">
        <f aca="false">IF(ABS(H642)&lt;=0.000001,"PASS","FAIL")</f>
        <v>PASS</v>
      </c>
      <c r="J642" s="10" t="s">
        <v>2466</v>
      </c>
    </row>
    <row r="643" customFormat="false" ht="15" hidden="false" customHeight="false" outlineLevel="0" collapsed="false">
      <c r="A643" s="10" t="s">
        <v>2467</v>
      </c>
      <c r="B643" s="10" t="s">
        <v>1103</v>
      </c>
      <c r="C643" s="10" t="s">
        <v>2468</v>
      </c>
      <c r="D643" s="10" t="s">
        <v>1136</v>
      </c>
      <c r="E643" s="10" t="s">
        <v>2469</v>
      </c>
      <c r="F643" s="16" t="n">
        <f aca="false">Growth_Decomposition!G11</f>
        <v>1.25</v>
      </c>
      <c r="G643" s="12" t="n">
        <v>1.25</v>
      </c>
      <c r="H643" s="26" t="n">
        <f aca="false">F643-G643</f>
        <v>0</v>
      </c>
      <c r="I643" s="10" t="str">
        <f aca="false">IF(ABS(H643)&lt;=0.000001,"PASS","FAIL")</f>
        <v>PASS</v>
      </c>
      <c r="J643" s="10" t="s">
        <v>2470</v>
      </c>
    </row>
    <row r="644" customFormat="false" ht="15" hidden="false" customHeight="false" outlineLevel="0" collapsed="false">
      <c r="A644" s="10" t="s">
        <v>2471</v>
      </c>
      <c r="B644" s="10" t="s">
        <v>1103</v>
      </c>
      <c r="C644" s="10" t="s">
        <v>2472</v>
      </c>
      <c r="D644" s="10" t="s">
        <v>1136</v>
      </c>
      <c r="E644" s="10" t="s">
        <v>2473</v>
      </c>
      <c r="F644" s="16" t="n">
        <f aca="false">Growth_Decomposition!J11</f>
        <v>1.35</v>
      </c>
      <c r="G644" s="12" t="n">
        <v>1.35</v>
      </c>
      <c r="H644" s="26" t="n">
        <f aca="false">F644-G644</f>
        <v>0</v>
      </c>
      <c r="I644" s="10" t="str">
        <f aca="false">IF(ABS(H644)&lt;=0.000001,"PASS","FAIL")</f>
        <v>PASS</v>
      </c>
      <c r="J644" s="10" t="s">
        <v>2474</v>
      </c>
    </row>
    <row r="645" customFormat="false" ht="15" hidden="false" customHeight="false" outlineLevel="0" collapsed="false">
      <c r="A645" s="10" t="s">
        <v>2475</v>
      </c>
      <c r="B645" s="10" t="s">
        <v>1103</v>
      </c>
      <c r="C645" s="10" t="s">
        <v>2476</v>
      </c>
      <c r="D645" s="10" t="s">
        <v>1136</v>
      </c>
      <c r="E645" s="10" t="s">
        <v>2477</v>
      </c>
      <c r="F645" s="16" t="n">
        <f aca="false">Growth_Decomposition!M11</f>
        <v>1.5</v>
      </c>
      <c r="G645" s="12" t="n">
        <v>1.5</v>
      </c>
      <c r="H645" s="26" t="n">
        <f aca="false">F645-G645</f>
        <v>0</v>
      </c>
      <c r="I645" s="10" t="str">
        <f aca="false">IF(ABS(H645)&lt;=0.000001,"PASS","FAIL")</f>
        <v>PASS</v>
      </c>
      <c r="J645" s="10" t="s">
        <v>2478</v>
      </c>
    </row>
    <row r="646" customFormat="false" ht="15" hidden="false" customHeight="false" outlineLevel="0" collapsed="false">
      <c r="A646" s="10" t="s">
        <v>2479</v>
      </c>
      <c r="B646" s="10" t="s">
        <v>1103</v>
      </c>
      <c r="C646" s="10" t="s">
        <v>2480</v>
      </c>
      <c r="D646" s="10" t="s">
        <v>1136</v>
      </c>
      <c r="E646" s="10" t="s">
        <v>373</v>
      </c>
      <c r="F646" s="27" t="n">
        <f aca="false">Growth_Decomposition!W11</f>
        <v>1160</v>
      </c>
      <c r="G646" s="12" t="n">
        <v>1160</v>
      </c>
      <c r="H646" s="10" t="n">
        <f aca="false">F646-G646</f>
        <v>0</v>
      </c>
      <c r="I646" s="10" t="str">
        <f aca="false">IF(ABS(H646)&lt;=0.000001,"PASS","FAIL")</f>
        <v>PASS</v>
      </c>
      <c r="J646" s="10" t="s">
        <v>2481</v>
      </c>
    </row>
    <row r="647" customFormat="false" ht="15" hidden="false" customHeight="false" outlineLevel="0" collapsed="false">
      <c r="A647" s="10" t="s">
        <v>2482</v>
      </c>
      <c r="B647" s="10" t="s">
        <v>1102</v>
      </c>
      <c r="C647" s="10" t="s">
        <v>2483</v>
      </c>
      <c r="D647" s="10" t="s">
        <v>1136</v>
      </c>
      <c r="E647" s="10" t="s">
        <v>76</v>
      </c>
      <c r="F647" s="22" t="n">
        <f aca="false">Growth_Decomposition!B12</f>
        <v>136893</v>
      </c>
      <c r="G647" s="12" t="n">
        <v>136893</v>
      </c>
      <c r="H647" s="10" t="n">
        <f aca="false">F647-G647</f>
        <v>0</v>
      </c>
      <c r="I647" s="10" t="str">
        <f aca="false">IF(ABS(H647)&lt;=0.000001,"PASS","FAIL")</f>
        <v>PASS</v>
      </c>
      <c r="J647" s="10" t="s">
        <v>2484</v>
      </c>
    </row>
    <row r="648" customFormat="false" ht="15" hidden="false" customHeight="false" outlineLevel="0" collapsed="false">
      <c r="A648" s="10" t="s">
        <v>2485</v>
      </c>
      <c r="B648" s="10" t="s">
        <v>1103</v>
      </c>
      <c r="C648" s="10" t="s">
        <v>2486</v>
      </c>
      <c r="D648" s="10" t="s">
        <v>1136</v>
      </c>
      <c r="E648" s="10" t="s">
        <v>2487</v>
      </c>
      <c r="F648" s="16" t="n">
        <f aca="false">Growth_Decomposition!G12</f>
        <v>1.2</v>
      </c>
      <c r="G648" s="12" t="n">
        <v>1.2</v>
      </c>
      <c r="H648" s="26" t="n">
        <f aca="false">F648-G648</f>
        <v>0</v>
      </c>
      <c r="I648" s="10" t="str">
        <f aca="false">IF(ABS(H648)&lt;=0.000001,"PASS","FAIL")</f>
        <v>PASS</v>
      </c>
      <c r="J648" s="10" t="s">
        <v>2488</v>
      </c>
    </row>
    <row r="649" customFormat="false" ht="15" hidden="false" customHeight="false" outlineLevel="0" collapsed="false">
      <c r="A649" s="10" t="s">
        <v>2489</v>
      </c>
      <c r="B649" s="10" t="s">
        <v>1103</v>
      </c>
      <c r="C649" s="10" t="s">
        <v>2490</v>
      </c>
      <c r="D649" s="10" t="s">
        <v>1136</v>
      </c>
      <c r="E649" s="10" t="s">
        <v>2491</v>
      </c>
      <c r="F649" s="16" t="n">
        <f aca="false">Growth_Decomposition!J12</f>
        <v>1.35</v>
      </c>
      <c r="G649" s="12" t="n">
        <v>1.35</v>
      </c>
      <c r="H649" s="26" t="n">
        <f aca="false">F649-G649</f>
        <v>0</v>
      </c>
      <c r="I649" s="10" t="str">
        <f aca="false">IF(ABS(H649)&lt;=0.000001,"PASS","FAIL")</f>
        <v>PASS</v>
      </c>
      <c r="J649" s="10" t="s">
        <v>2492</v>
      </c>
    </row>
    <row r="650" customFormat="false" ht="15" hidden="false" customHeight="false" outlineLevel="0" collapsed="false">
      <c r="A650" s="10" t="s">
        <v>2493</v>
      </c>
      <c r="B650" s="10" t="s">
        <v>1103</v>
      </c>
      <c r="C650" s="10" t="s">
        <v>2494</v>
      </c>
      <c r="D650" s="10" t="s">
        <v>1136</v>
      </c>
      <c r="E650" s="10" t="s">
        <v>2495</v>
      </c>
      <c r="F650" s="16" t="n">
        <f aca="false">Growth_Decomposition!M12</f>
        <v>1.45</v>
      </c>
      <c r="G650" s="12" t="n">
        <v>1.45</v>
      </c>
      <c r="H650" s="26" t="n">
        <f aca="false">F650-G650</f>
        <v>0</v>
      </c>
      <c r="I650" s="10" t="str">
        <f aca="false">IF(ABS(H650)&lt;=0.000001,"PASS","FAIL")</f>
        <v>PASS</v>
      </c>
      <c r="J650" s="10" t="s">
        <v>2496</v>
      </c>
    </row>
    <row r="651" customFormat="false" ht="15" hidden="false" customHeight="false" outlineLevel="0" collapsed="false">
      <c r="A651" s="10" t="s">
        <v>2497</v>
      </c>
      <c r="B651" s="10" t="s">
        <v>1103</v>
      </c>
      <c r="C651" s="10" t="s">
        <v>2498</v>
      </c>
      <c r="D651" s="10" t="s">
        <v>1136</v>
      </c>
      <c r="E651" s="10" t="s">
        <v>377</v>
      </c>
      <c r="F651" s="27" t="n">
        <f aca="false">Growth_Decomposition!W12</f>
        <v>1323</v>
      </c>
      <c r="G651" s="12" t="n">
        <v>1323</v>
      </c>
      <c r="H651" s="10" t="n">
        <f aca="false">F651-G651</f>
        <v>0</v>
      </c>
      <c r="I651" s="10" t="str">
        <f aca="false">IF(ABS(H651)&lt;=0.000001,"PASS","FAIL")</f>
        <v>PASS</v>
      </c>
      <c r="J651" s="10" t="s">
        <v>2499</v>
      </c>
    </row>
    <row r="652" customFormat="false" ht="15" hidden="false" customHeight="false" outlineLevel="0" collapsed="false">
      <c r="A652" s="10" t="s">
        <v>2500</v>
      </c>
      <c r="B652" s="10" t="s">
        <v>1102</v>
      </c>
      <c r="C652" s="10" t="s">
        <v>2501</v>
      </c>
      <c r="D652" s="10" t="s">
        <v>1136</v>
      </c>
      <c r="E652" s="10" t="s">
        <v>80</v>
      </c>
      <c r="F652" s="22" t="n">
        <f aca="false">Growth_Decomposition!B13</f>
        <v>149921</v>
      </c>
      <c r="G652" s="12" t="n">
        <v>149921</v>
      </c>
      <c r="H652" s="10" t="n">
        <f aca="false">F652-G652</f>
        <v>0</v>
      </c>
      <c r="I652" s="10" t="str">
        <f aca="false">IF(ABS(H652)&lt;=0.000001,"PASS","FAIL")</f>
        <v>PASS</v>
      </c>
      <c r="J652" s="10" t="s">
        <v>2502</v>
      </c>
    </row>
    <row r="653" customFormat="false" ht="15" hidden="false" customHeight="false" outlineLevel="0" collapsed="false">
      <c r="A653" s="10" t="s">
        <v>2503</v>
      </c>
      <c r="B653" s="10" t="s">
        <v>1103</v>
      </c>
      <c r="C653" s="10" t="s">
        <v>2504</v>
      </c>
      <c r="D653" s="10" t="s">
        <v>1136</v>
      </c>
      <c r="E653" s="10" t="s">
        <v>379</v>
      </c>
      <c r="F653" s="16" t="n">
        <f aca="false">Growth_Decomposition!G13</f>
        <v>1.21</v>
      </c>
      <c r="G653" s="12" t="n">
        <v>1.21</v>
      </c>
      <c r="H653" s="26" t="n">
        <f aca="false">F653-G653</f>
        <v>0</v>
      </c>
      <c r="I653" s="10" t="str">
        <f aca="false">IF(ABS(H653)&lt;=0.000001,"PASS","FAIL")</f>
        <v>PASS</v>
      </c>
      <c r="J653" s="10" t="s">
        <v>2505</v>
      </c>
    </row>
    <row r="654" customFormat="false" ht="15" hidden="false" customHeight="false" outlineLevel="0" collapsed="false">
      <c r="A654" s="10" t="s">
        <v>2506</v>
      </c>
      <c r="B654" s="10" t="s">
        <v>1103</v>
      </c>
      <c r="C654" s="10" t="s">
        <v>2507</v>
      </c>
      <c r="D654" s="10" t="s">
        <v>1136</v>
      </c>
      <c r="E654" s="10" t="s">
        <v>381</v>
      </c>
      <c r="F654" s="16" t="n">
        <f aca="false">Growth_Decomposition!J13</f>
        <v>1.3</v>
      </c>
      <c r="G654" s="12" t="n">
        <v>1.3</v>
      </c>
      <c r="H654" s="26" t="n">
        <f aca="false">F654-G654</f>
        <v>0</v>
      </c>
      <c r="I654" s="10" t="str">
        <f aca="false">IF(ABS(H654)&lt;=0.000001,"PASS","FAIL")</f>
        <v>PASS</v>
      </c>
      <c r="J654" s="10" t="s">
        <v>2508</v>
      </c>
    </row>
    <row r="655" customFormat="false" ht="15" hidden="false" customHeight="false" outlineLevel="0" collapsed="false">
      <c r="A655" s="10" t="s">
        <v>2509</v>
      </c>
      <c r="B655" s="10" t="s">
        <v>1103</v>
      </c>
      <c r="C655" s="10" t="s">
        <v>2510</v>
      </c>
      <c r="D655" s="10" t="s">
        <v>1136</v>
      </c>
      <c r="E655" s="10" t="s">
        <v>382</v>
      </c>
      <c r="F655" s="16" t="n">
        <f aca="false">Growth_Decomposition!M13</f>
        <v>1.37</v>
      </c>
      <c r="G655" s="12" t="n">
        <v>1.37</v>
      </c>
      <c r="H655" s="26" t="n">
        <f aca="false">F655-G655</f>
        <v>0</v>
      </c>
      <c r="I655" s="10" t="str">
        <f aca="false">IF(ABS(H655)&lt;=0.000001,"PASS","FAIL")</f>
        <v>PASS</v>
      </c>
      <c r="J655" s="10" t="s">
        <v>2511</v>
      </c>
    </row>
    <row r="656" customFormat="false" ht="15" hidden="false" customHeight="false" outlineLevel="0" collapsed="false">
      <c r="A656" s="10" t="s">
        <v>2512</v>
      </c>
      <c r="B656" s="10" t="s">
        <v>1103</v>
      </c>
      <c r="C656" s="10" t="s">
        <v>2513</v>
      </c>
      <c r="D656" s="10" t="s">
        <v>1136</v>
      </c>
      <c r="E656" s="10" t="s">
        <v>383</v>
      </c>
      <c r="F656" s="16" t="n">
        <f aca="false">Growth_Decomposition!P13</f>
        <v>1.35</v>
      </c>
      <c r="G656" s="12" t="n">
        <v>1.35</v>
      </c>
      <c r="H656" s="26" t="n">
        <f aca="false">F656-G656</f>
        <v>0</v>
      </c>
      <c r="I656" s="10" t="str">
        <f aca="false">IF(ABS(H656)&lt;=0.000001,"PASS","FAIL")</f>
        <v>PASS</v>
      </c>
      <c r="J656" s="10" t="s">
        <v>2514</v>
      </c>
    </row>
    <row r="657" customFormat="false" ht="15" hidden="false" customHeight="false" outlineLevel="0" collapsed="false">
      <c r="A657" s="10" t="s">
        <v>2515</v>
      </c>
      <c r="B657" s="10" t="s">
        <v>1103</v>
      </c>
      <c r="C657" s="10" t="s">
        <v>2516</v>
      </c>
      <c r="D657" s="10" t="s">
        <v>1136</v>
      </c>
      <c r="E657" s="10" t="s">
        <v>384</v>
      </c>
      <c r="F657" s="27" t="n">
        <f aca="false">Growth_Decomposition!W13</f>
        <v>1474</v>
      </c>
      <c r="G657" s="12" t="n">
        <v>1474</v>
      </c>
      <c r="H657" s="10" t="n">
        <f aca="false">F657-G657</f>
        <v>0</v>
      </c>
      <c r="I657" s="10" t="str">
        <f aca="false">IF(ABS(H657)&lt;=0.000001,"PASS","FAIL")</f>
        <v>PASS</v>
      </c>
      <c r="J657" s="10" t="s">
        <v>2517</v>
      </c>
    </row>
    <row r="658" customFormat="false" ht="15" hidden="false" customHeight="false" outlineLevel="0" collapsed="false">
      <c r="A658" s="10" t="s">
        <v>2518</v>
      </c>
      <c r="B658" s="10" t="s">
        <v>1103</v>
      </c>
      <c r="C658" s="10" t="s">
        <v>2519</v>
      </c>
      <c r="D658" s="10" t="s">
        <v>1136</v>
      </c>
      <c r="E658" s="10" t="s">
        <v>385</v>
      </c>
      <c r="F658" s="27" t="n">
        <f aca="false">Growth_Decomposition!AA13</f>
        <v>527</v>
      </c>
      <c r="G658" s="12" t="n">
        <v>527</v>
      </c>
      <c r="H658" s="10" t="n">
        <f aca="false">F658-G658</f>
        <v>0</v>
      </c>
      <c r="I658" s="10" t="str">
        <f aca="false">IF(ABS(H658)&lt;=0.000001,"PASS","FAIL")</f>
        <v>PASS</v>
      </c>
      <c r="J658" s="10" t="s">
        <v>2520</v>
      </c>
    </row>
    <row r="659" customFormat="false" ht="15" hidden="false" customHeight="false" outlineLevel="0" collapsed="false">
      <c r="A659" s="10" t="s">
        <v>2521</v>
      </c>
      <c r="B659" s="10" t="s">
        <v>1102</v>
      </c>
      <c r="C659" s="10" t="s">
        <v>2522</v>
      </c>
      <c r="D659" s="10" t="s">
        <v>1136</v>
      </c>
      <c r="E659" s="10" t="s">
        <v>85</v>
      </c>
      <c r="F659" s="22" t="n">
        <f aca="false">Growth_Decomposition!B14</f>
        <v>162256</v>
      </c>
      <c r="G659" s="12" t="n">
        <v>162256</v>
      </c>
      <c r="H659" s="10" t="n">
        <f aca="false">F659-G659</f>
        <v>0</v>
      </c>
      <c r="I659" s="10" t="str">
        <f aca="false">IF(ABS(H659)&lt;=0.000001,"PASS","FAIL")</f>
        <v>PASS</v>
      </c>
      <c r="J659" s="10" t="s">
        <v>2523</v>
      </c>
    </row>
    <row r="660" customFormat="false" ht="15" hidden="false" customHeight="false" outlineLevel="0" collapsed="false">
      <c r="A660" s="10" t="s">
        <v>2524</v>
      </c>
      <c r="B660" s="10" t="s">
        <v>1103</v>
      </c>
      <c r="C660" s="10" t="s">
        <v>2525</v>
      </c>
      <c r="D660" s="10" t="s">
        <v>1136</v>
      </c>
      <c r="E660" s="10" t="s">
        <v>2526</v>
      </c>
      <c r="F660" s="16" t="n">
        <f aca="false">Growth_Decomposition!G14</f>
        <v>1.15</v>
      </c>
      <c r="G660" s="12" t="n">
        <v>1.15</v>
      </c>
      <c r="H660" s="26" t="n">
        <f aca="false">F660-G660</f>
        <v>0</v>
      </c>
      <c r="I660" s="10" t="str">
        <f aca="false">IF(ABS(H660)&lt;=0.000001,"PASS","FAIL")</f>
        <v>PASS</v>
      </c>
      <c r="J660" s="10" t="s">
        <v>2527</v>
      </c>
    </row>
    <row r="661" customFormat="false" ht="15" hidden="false" customHeight="false" outlineLevel="0" collapsed="false">
      <c r="A661" s="10" t="s">
        <v>2528</v>
      </c>
      <c r="B661" s="10" t="s">
        <v>1103</v>
      </c>
      <c r="C661" s="10" t="s">
        <v>2529</v>
      </c>
      <c r="D661" s="10" t="s">
        <v>1136</v>
      </c>
      <c r="E661" s="10" t="s">
        <v>2530</v>
      </c>
      <c r="F661" s="16" t="n">
        <f aca="false">Growth_Decomposition!J14</f>
        <v>1.25</v>
      </c>
      <c r="G661" s="12" t="n">
        <v>1.25</v>
      </c>
      <c r="H661" s="26" t="n">
        <f aca="false">F661-G661</f>
        <v>0</v>
      </c>
      <c r="I661" s="10" t="str">
        <f aca="false">IF(ABS(H661)&lt;=0.000001,"PASS","FAIL")</f>
        <v>PASS</v>
      </c>
      <c r="J661" s="10" t="s">
        <v>2531</v>
      </c>
    </row>
    <row r="662" customFormat="false" ht="15" hidden="false" customHeight="false" outlineLevel="0" collapsed="false">
      <c r="A662" s="10" t="s">
        <v>2532</v>
      </c>
      <c r="B662" s="10" t="s">
        <v>1103</v>
      </c>
      <c r="C662" s="10" t="s">
        <v>2533</v>
      </c>
      <c r="D662" s="10" t="s">
        <v>1136</v>
      </c>
      <c r="E662" s="10" t="s">
        <v>2534</v>
      </c>
      <c r="F662" s="16" t="n">
        <f aca="false">Growth_Decomposition!M14</f>
        <v>1.25</v>
      </c>
      <c r="G662" s="12" t="n">
        <v>1.25</v>
      </c>
      <c r="H662" s="26" t="n">
        <f aca="false">F662-G662</f>
        <v>0</v>
      </c>
      <c r="I662" s="10" t="str">
        <f aca="false">IF(ABS(H662)&lt;=0.000001,"PASS","FAIL")</f>
        <v>PASS</v>
      </c>
      <c r="J662" s="10" t="s">
        <v>2535</v>
      </c>
    </row>
    <row r="663" customFormat="false" ht="15" hidden="false" customHeight="false" outlineLevel="0" collapsed="false">
      <c r="A663" s="10" t="s">
        <v>2536</v>
      </c>
      <c r="B663" s="10" t="s">
        <v>1103</v>
      </c>
      <c r="C663" s="10" t="s">
        <v>2537</v>
      </c>
      <c r="D663" s="10" t="s">
        <v>1136</v>
      </c>
      <c r="E663" s="10" t="s">
        <v>390</v>
      </c>
      <c r="F663" s="27" t="n">
        <f aca="false">Growth_Decomposition!S14</f>
        <v>47228</v>
      </c>
      <c r="G663" s="12" t="n">
        <v>47228</v>
      </c>
      <c r="H663" s="10" t="n">
        <f aca="false">F663-G663</f>
        <v>0</v>
      </c>
      <c r="I663" s="10" t="str">
        <f aca="false">IF(ABS(H663)&lt;=0.000001,"PASS","FAIL")</f>
        <v>PASS</v>
      </c>
      <c r="J663" s="10" t="s">
        <v>2538</v>
      </c>
    </row>
    <row r="664" customFormat="false" ht="15" hidden="false" customHeight="false" outlineLevel="0" collapsed="false">
      <c r="A664" s="10" t="s">
        <v>2539</v>
      </c>
      <c r="B664" s="10" t="s">
        <v>1103</v>
      </c>
      <c r="C664" s="10" t="s">
        <v>2540</v>
      </c>
      <c r="D664" s="10" t="s">
        <v>1136</v>
      </c>
      <c r="E664" s="10" t="s">
        <v>391</v>
      </c>
      <c r="F664" s="27" t="n">
        <f aca="false">Growth_Decomposition!W14</f>
        <v>1683</v>
      </c>
      <c r="G664" s="12" t="n">
        <v>1683</v>
      </c>
      <c r="H664" s="10" t="n">
        <f aca="false">F664-G664</f>
        <v>0</v>
      </c>
      <c r="I664" s="10" t="str">
        <f aca="false">IF(ABS(H664)&lt;=0.000001,"PASS","FAIL")</f>
        <v>PASS</v>
      </c>
      <c r="J664" s="10" t="s">
        <v>2541</v>
      </c>
    </row>
    <row r="665" customFormat="false" ht="15" hidden="false" customHeight="false" outlineLevel="0" collapsed="false">
      <c r="A665" s="10" t="s">
        <v>2542</v>
      </c>
      <c r="B665" s="10" t="s">
        <v>1103</v>
      </c>
      <c r="C665" s="10" t="s">
        <v>2543</v>
      </c>
      <c r="D665" s="10" t="s">
        <v>1136</v>
      </c>
      <c r="E665" s="10" t="s">
        <v>392</v>
      </c>
      <c r="F665" s="27" t="n">
        <f aca="false">Growth_Decomposition!AA14</f>
        <v>588</v>
      </c>
      <c r="G665" s="12" t="n">
        <v>588</v>
      </c>
      <c r="H665" s="10" t="n">
        <f aca="false">F665-G665</f>
        <v>0</v>
      </c>
      <c r="I665" s="10" t="str">
        <f aca="false">IF(ABS(H665)&lt;=0.000001,"PASS","FAIL")</f>
        <v>PASS</v>
      </c>
      <c r="J665" s="10" t="s">
        <v>2544</v>
      </c>
    </row>
    <row r="666" customFormat="false" ht="15" hidden="false" customHeight="false" outlineLevel="0" collapsed="false">
      <c r="A666" s="10" t="s">
        <v>2545</v>
      </c>
      <c r="B666" s="10" t="s">
        <v>1102</v>
      </c>
      <c r="C666" s="10" t="s">
        <v>2546</v>
      </c>
      <c r="D666" s="10" t="s">
        <v>1136</v>
      </c>
      <c r="E666" s="10" t="s">
        <v>90</v>
      </c>
      <c r="F666" s="22" t="n">
        <f aca="false">Growth_Decomposition!B15</f>
        <v>175679</v>
      </c>
      <c r="G666" s="12" t="n">
        <v>175679</v>
      </c>
      <c r="H666" s="10" t="n">
        <f aca="false">F666-G666</f>
        <v>0</v>
      </c>
      <c r="I666" s="10" t="str">
        <f aca="false">IF(ABS(H666)&lt;=0.000001,"PASS","FAIL")</f>
        <v>PASS</v>
      </c>
      <c r="J666" s="10" t="s">
        <v>2547</v>
      </c>
    </row>
    <row r="667" customFormat="false" ht="15" hidden="false" customHeight="false" outlineLevel="0" collapsed="false">
      <c r="A667" s="10" t="s">
        <v>2548</v>
      </c>
      <c r="B667" s="10" t="s">
        <v>1103</v>
      </c>
      <c r="C667" s="10" t="s">
        <v>2549</v>
      </c>
      <c r="D667" s="10" t="s">
        <v>1136</v>
      </c>
      <c r="E667" s="10" t="s">
        <v>2550</v>
      </c>
      <c r="F667" s="16" t="n">
        <f aca="false">Growth_Decomposition!G15</f>
        <v>1.1</v>
      </c>
      <c r="G667" s="12" t="n">
        <v>1.1</v>
      </c>
      <c r="H667" s="26" t="n">
        <f aca="false">F667-G667</f>
        <v>0</v>
      </c>
      <c r="I667" s="10" t="str">
        <f aca="false">IF(ABS(H667)&lt;=0.000001,"PASS","FAIL")</f>
        <v>PASS</v>
      </c>
      <c r="J667" s="10" t="s">
        <v>2551</v>
      </c>
    </row>
    <row r="668" customFormat="false" ht="15" hidden="false" customHeight="false" outlineLevel="0" collapsed="false">
      <c r="A668" s="10" t="s">
        <v>2552</v>
      </c>
      <c r="B668" s="10" t="s">
        <v>1103</v>
      </c>
      <c r="C668" s="10" t="s">
        <v>2553</v>
      </c>
      <c r="D668" s="10" t="s">
        <v>1136</v>
      </c>
      <c r="E668" s="10" t="s">
        <v>2554</v>
      </c>
      <c r="F668" s="16" t="n">
        <f aca="false">Growth_Decomposition!J15</f>
        <v>1.2</v>
      </c>
      <c r="G668" s="12" t="n">
        <v>1.2</v>
      </c>
      <c r="H668" s="26" t="n">
        <f aca="false">F668-G668</f>
        <v>0</v>
      </c>
      <c r="I668" s="10" t="str">
        <f aca="false">IF(ABS(H668)&lt;=0.000001,"PASS","FAIL")</f>
        <v>PASS</v>
      </c>
      <c r="J668" s="10" t="s">
        <v>2555</v>
      </c>
    </row>
    <row r="669" customFormat="false" ht="15" hidden="false" customHeight="false" outlineLevel="0" collapsed="false">
      <c r="A669" s="10" t="s">
        <v>2556</v>
      </c>
      <c r="B669" s="10" t="s">
        <v>1103</v>
      </c>
      <c r="C669" s="10" t="s">
        <v>2557</v>
      </c>
      <c r="D669" s="10" t="s">
        <v>1136</v>
      </c>
      <c r="E669" s="10" t="s">
        <v>2558</v>
      </c>
      <c r="F669" s="16" t="n">
        <f aca="false">Growth_Decomposition!M15</f>
        <v>1.2</v>
      </c>
      <c r="G669" s="12" t="n">
        <v>1.2</v>
      </c>
      <c r="H669" s="26" t="n">
        <f aca="false">F669-G669</f>
        <v>0</v>
      </c>
      <c r="I669" s="10" t="str">
        <f aca="false">IF(ABS(H669)&lt;=0.000001,"PASS","FAIL")</f>
        <v>PASS</v>
      </c>
      <c r="J669" s="10" t="s">
        <v>2559</v>
      </c>
    </row>
    <row r="670" customFormat="false" ht="15" hidden="false" customHeight="false" outlineLevel="0" collapsed="false">
      <c r="A670" s="10" t="s">
        <v>2560</v>
      </c>
      <c r="B670" s="10" t="s">
        <v>1103</v>
      </c>
      <c r="C670" s="10" t="s">
        <v>2561</v>
      </c>
      <c r="D670" s="10" t="s">
        <v>1136</v>
      </c>
      <c r="E670" s="10" t="s">
        <v>397</v>
      </c>
      <c r="F670" s="27" t="n">
        <f aca="false">Growth_Decomposition!S15</f>
        <v>49936</v>
      </c>
      <c r="G670" s="12" t="n">
        <v>49936</v>
      </c>
      <c r="H670" s="10" t="n">
        <f aca="false">F670-G670</f>
        <v>0</v>
      </c>
      <c r="I670" s="10" t="str">
        <f aca="false">IF(ABS(H670)&lt;=0.000001,"PASS","FAIL")</f>
        <v>PASS</v>
      </c>
      <c r="J670" s="10" t="s">
        <v>2562</v>
      </c>
    </row>
    <row r="671" customFormat="false" ht="15" hidden="false" customHeight="false" outlineLevel="0" collapsed="false">
      <c r="A671" s="10" t="s">
        <v>2563</v>
      </c>
      <c r="B671" s="10" t="s">
        <v>1103</v>
      </c>
      <c r="C671" s="10" t="s">
        <v>2564</v>
      </c>
      <c r="D671" s="10" t="s">
        <v>1136</v>
      </c>
      <c r="E671" s="10" t="s">
        <v>398</v>
      </c>
      <c r="F671" s="27" t="n">
        <f aca="false">Growth_Decomposition!W15</f>
        <v>1892</v>
      </c>
      <c r="G671" s="12" t="n">
        <v>1892</v>
      </c>
      <c r="H671" s="10" t="n">
        <f aca="false">F671-G671</f>
        <v>0</v>
      </c>
      <c r="I671" s="10" t="str">
        <f aca="false">IF(ABS(H671)&lt;=0.000001,"PASS","FAIL")</f>
        <v>PASS</v>
      </c>
      <c r="J671" s="10" t="s">
        <v>2565</v>
      </c>
    </row>
    <row r="672" customFormat="false" ht="15" hidden="false" customHeight="false" outlineLevel="0" collapsed="false">
      <c r="A672" s="10" t="s">
        <v>2566</v>
      </c>
      <c r="B672" s="10" t="s">
        <v>1103</v>
      </c>
      <c r="C672" s="10" t="s">
        <v>2567</v>
      </c>
      <c r="D672" s="10" t="s">
        <v>1136</v>
      </c>
      <c r="E672" s="10" t="s">
        <v>399</v>
      </c>
      <c r="F672" s="27" t="n">
        <f aca="false">Growth_Decomposition!AA15</f>
        <v>677</v>
      </c>
      <c r="G672" s="12" t="n">
        <v>677</v>
      </c>
      <c r="H672" s="10" t="n">
        <f aca="false">F672-G672</f>
        <v>0</v>
      </c>
      <c r="I672" s="10" t="str">
        <f aca="false">IF(ABS(H672)&lt;=0.000001,"PASS","FAIL")</f>
        <v>PASS</v>
      </c>
      <c r="J672" s="10" t="s">
        <v>2568</v>
      </c>
    </row>
    <row r="673" customFormat="false" ht="15" hidden="false" customHeight="false" outlineLevel="0" collapsed="false">
      <c r="A673" s="10" t="s">
        <v>2569</v>
      </c>
      <c r="B673" s="10" t="s">
        <v>1102</v>
      </c>
      <c r="C673" s="10" t="s">
        <v>2570</v>
      </c>
      <c r="D673" s="10" t="s">
        <v>1136</v>
      </c>
      <c r="E673" s="10" t="s">
        <v>95</v>
      </c>
      <c r="F673" s="22" t="n">
        <f aca="false">Growth_Decomposition!B16</f>
        <v>189190</v>
      </c>
      <c r="G673" s="12" t="n">
        <v>189190</v>
      </c>
      <c r="H673" s="10" t="n">
        <f aca="false">F673-G673</f>
        <v>0</v>
      </c>
      <c r="I673" s="10" t="str">
        <f aca="false">IF(ABS(H673)&lt;=0.000001,"PASS","FAIL")</f>
        <v>PASS</v>
      </c>
      <c r="J673" s="10" t="s">
        <v>2571</v>
      </c>
    </row>
    <row r="674" customFormat="false" ht="15" hidden="false" customHeight="false" outlineLevel="0" collapsed="false">
      <c r="A674" s="10" t="s">
        <v>2572</v>
      </c>
      <c r="B674" s="10" t="s">
        <v>1103</v>
      </c>
      <c r="C674" s="10" t="s">
        <v>2573</v>
      </c>
      <c r="D674" s="10" t="s">
        <v>1136</v>
      </c>
      <c r="E674" s="10" t="s">
        <v>2574</v>
      </c>
      <c r="F674" s="16" t="n">
        <f aca="false">Growth_Decomposition!G16</f>
        <v>1.1</v>
      </c>
      <c r="G674" s="12" t="n">
        <v>1.1</v>
      </c>
      <c r="H674" s="26" t="n">
        <f aca="false">F674-G674</f>
        <v>0</v>
      </c>
      <c r="I674" s="10" t="str">
        <f aca="false">IF(ABS(H674)&lt;=0.000001,"PASS","FAIL")</f>
        <v>PASS</v>
      </c>
      <c r="J674" s="10" t="s">
        <v>2575</v>
      </c>
    </row>
    <row r="675" customFormat="false" ht="15" hidden="false" customHeight="false" outlineLevel="0" collapsed="false">
      <c r="A675" s="10" t="s">
        <v>2576</v>
      </c>
      <c r="B675" s="10" t="s">
        <v>1103</v>
      </c>
      <c r="C675" s="10" t="s">
        <v>2577</v>
      </c>
      <c r="D675" s="10" t="s">
        <v>1136</v>
      </c>
      <c r="E675" s="10" t="s">
        <v>2578</v>
      </c>
      <c r="F675" s="16" t="n">
        <f aca="false">Growth_Decomposition!J16</f>
        <v>1.15</v>
      </c>
      <c r="G675" s="12" t="n">
        <v>1.15</v>
      </c>
      <c r="H675" s="26" t="n">
        <f aca="false">F675-G675</f>
        <v>0</v>
      </c>
      <c r="I675" s="10" t="str">
        <f aca="false">IF(ABS(H675)&lt;=0.000001,"PASS","FAIL")</f>
        <v>PASS</v>
      </c>
      <c r="J675" s="10" t="s">
        <v>2579</v>
      </c>
    </row>
    <row r="676" customFormat="false" ht="15" hidden="false" customHeight="false" outlineLevel="0" collapsed="false">
      <c r="A676" s="10" t="s">
        <v>2580</v>
      </c>
      <c r="B676" s="10" t="s">
        <v>1103</v>
      </c>
      <c r="C676" s="10" t="s">
        <v>2581</v>
      </c>
      <c r="D676" s="10" t="s">
        <v>1136</v>
      </c>
      <c r="E676" s="10" t="s">
        <v>2582</v>
      </c>
      <c r="F676" s="16" t="n">
        <f aca="false">Growth_Decomposition!M16</f>
        <v>1.15</v>
      </c>
      <c r="G676" s="12" t="n">
        <v>1.15</v>
      </c>
      <c r="H676" s="26" t="n">
        <f aca="false">F676-G676</f>
        <v>0</v>
      </c>
      <c r="I676" s="10" t="str">
        <f aca="false">IF(ABS(H676)&lt;=0.000001,"PASS","FAIL")</f>
        <v>PASS</v>
      </c>
      <c r="J676" s="10" t="s">
        <v>2583</v>
      </c>
    </row>
    <row r="677" customFormat="false" ht="15" hidden="false" customHeight="false" outlineLevel="0" collapsed="false">
      <c r="A677" s="10" t="s">
        <v>2584</v>
      </c>
      <c r="B677" s="10" t="s">
        <v>1103</v>
      </c>
      <c r="C677" s="10" t="s">
        <v>2585</v>
      </c>
      <c r="D677" s="10" t="s">
        <v>1136</v>
      </c>
      <c r="E677" s="10" t="s">
        <v>404</v>
      </c>
      <c r="F677" s="27" t="n">
        <f aca="false">Growth_Decomposition!S16</f>
        <v>52015</v>
      </c>
      <c r="G677" s="12" t="n">
        <v>52015</v>
      </c>
      <c r="H677" s="10" t="n">
        <f aca="false">F677-G677</f>
        <v>0</v>
      </c>
      <c r="I677" s="10" t="str">
        <f aca="false">IF(ABS(H677)&lt;=0.000001,"PASS","FAIL")</f>
        <v>PASS</v>
      </c>
      <c r="J677" s="10" t="s">
        <v>2586</v>
      </c>
    </row>
    <row r="678" customFormat="false" ht="15" hidden="false" customHeight="false" outlineLevel="0" collapsed="false">
      <c r="A678" s="10" t="s">
        <v>2587</v>
      </c>
      <c r="B678" s="10" t="s">
        <v>1103</v>
      </c>
      <c r="C678" s="10" t="s">
        <v>2588</v>
      </c>
      <c r="D678" s="10" t="s">
        <v>1136</v>
      </c>
      <c r="E678" s="10" t="s">
        <v>405</v>
      </c>
      <c r="F678" s="27" t="n">
        <f aca="false">Growth_Decomposition!W16</f>
        <v>2077</v>
      </c>
      <c r="G678" s="12" t="n">
        <v>2077</v>
      </c>
      <c r="H678" s="10" t="n">
        <f aca="false">F678-G678</f>
        <v>0</v>
      </c>
      <c r="I678" s="10" t="str">
        <f aca="false">IF(ABS(H678)&lt;=0.000001,"PASS","FAIL")</f>
        <v>PASS</v>
      </c>
      <c r="J678" s="10" t="s">
        <v>2589</v>
      </c>
    </row>
    <row r="679" customFormat="false" ht="15" hidden="false" customHeight="false" outlineLevel="0" collapsed="false">
      <c r="A679" s="10" t="s">
        <v>2590</v>
      </c>
      <c r="B679" s="10" t="s">
        <v>1103</v>
      </c>
      <c r="C679" s="10" t="s">
        <v>2591</v>
      </c>
      <c r="D679" s="10" t="s">
        <v>1136</v>
      </c>
      <c r="E679" s="10" t="s">
        <v>406</v>
      </c>
      <c r="F679" s="27" t="n">
        <f aca="false">Growth_Decomposition!AA16</f>
        <v>749</v>
      </c>
      <c r="G679" s="12" t="n">
        <v>749</v>
      </c>
      <c r="H679" s="10" t="n">
        <f aca="false">F679-G679</f>
        <v>0</v>
      </c>
      <c r="I679" s="10" t="str">
        <f aca="false">IF(ABS(H679)&lt;=0.000001,"PASS","FAIL")</f>
        <v>PASS</v>
      </c>
      <c r="J679" s="10" t="s">
        <v>2592</v>
      </c>
    </row>
    <row r="680" customFormat="false" ht="15" hidden="false" customHeight="false" outlineLevel="0" collapsed="false">
      <c r="A680" s="10" t="s">
        <v>2593</v>
      </c>
      <c r="B680" s="10" t="s">
        <v>1102</v>
      </c>
      <c r="C680" s="10" t="s">
        <v>2594</v>
      </c>
      <c r="D680" s="10" t="s">
        <v>1136</v>
      </c>
      <c r="E680" s="10" t="s">
        <v>100</v>
      </c>
      <c r="F680" s="22" t="n">
        <f aca="false">Growth_Decomposition!B17</f>
        <v>202570</v>
      </c>
      <c r="G680" s="12" t="n">
        <v>202570</v>
      </c>
      <c r="H680" s="10" t="n">
        <f aca="false">F680-G680</f>
        <v>0</v>
      </c>
      <c r="I680" s="10" t="str">
        <f aca="false">IF(ABS(H680)&lt;=0.000001,"PASS","FAIL")</f>
        <v>PASS</v>
      </c>
      <c r="J680" s="10" t="s">
        <v>2595</v>
      </c>
    </row>
    <row r="681" customFormat="false" ht="15" hidden="false" customHeight="false" outlineLevel="0" collapsed="false">
      <c r="A681" s="10" t="s">
        <v>2596</v>
      </c>
      <c r="B681" s="10" t="s">
        <v>1103</v>
      </c>
      <c r="C681" s="10" t="s">
        <v>2597</v>
      </c>
      <c r="D681" s="10" t="s">
        <v>1136</v>
      </c>
      <c r="E681" s="10" t="s">
        <v>408</v>
      </c>
      <c r="F681" s="16" t="n">
        <f aca="false">Growth_Decomposition!G17</f>
        <v>1.1</v>
      </c>
      <c r="G681" s="12" t="n">
        <v>1.1</v>
      </c>
      <c r="H681" s="26" t="n">
        <f aca="false">F681-G681</f>
        <v>0</v>
      </c>
      <c r="I681" s="10" t="str">
        <f aca="false">IF(ABS(H681)&lt;=0.000001,"PASS","FAIL")</f>
        <v>PASS</v>
      </c>
      <c r="J681" s="10" t="s">
        <v>2598</v>
      </c>
    </row>
    <row r="682" customFormat="false" ht="15" hidden="false" customHeight="false" outlineLevel="0" collapsed="false">
      <c r="A682" s="10" t="s">
        <v>2599</v>
      </c>
      <c r="B682" s="10" t="s">
        <v>1103</v>
      </c>
      <c r="C682" s="10" t="s">
        <v>2600</v>
      </c>
      <c r="D682" s="10" t="s">
        <v>1136</v>
      </c>
      <c r="E682" s="10" t="s">
        <v>409</v>
      </c>
      <c r="F682" s="16" t="n">
        <f aca="false">Growth_Decomposition!J17</f>
        <v>1.15</v>
      </c>
      <c r="G682" s="12" t="n">
        <v>1.15</v>
      </c>
      <c r="H682" s="26" t="n">
        <f aca="false">F682-G682</f>
        <v>0</v>
      </c>
      <c r="I682" s="10" t="str">
        <f aca="false">IF(ABS(H682)&lt;=0.000001,"PASS","FAIL")</f>
        <v>PASS</v>
      </c>
      <c r="J682" s="10" t="s">
        <v>2601</v>
      </c>
    </row>
    <row r="683" customFormat="false" ht="15" hidden="false" customHeight="false" outlineLevel="0" collapsed="false">
      <c r="A683" s="10" t="s">
        <v>2602</v>
      </c>
      <c r="B683" s="10" t="s">
        <v>1103</v>
      </c>
      <c r="C683" s="10" t="s">
        <v>2603</v>
      </c>
      <c r="D683" s="10" t="s">
        <v>1136</v>
      </c>
      <c r="E683" s="10" t="s">
        <v>410</v>
      </c>
      <c r="F683" s="16" t="n">
        <f aca="false">Growth_Decomposition!M17</f>
        <v>1.15</v>
      </c>
      <c r="G683" s="12" t="n">
        <v>1.15</v>
      </c>
      <c r="H683" s="26" t="n">
        <f aca="false">F683-G683</f>
        <v>0</v>
      </c>
      <c r="I683" s="10" t="str">
        <f aca="false">IF(ABS(H683)&lt;=0.000001,"PASS","FAIL")</f>
        <v>PASS</v>
      </c>
      <c r="J683" s="10" t="s">
        <v>2604</v>
      </c>
    </row>
    <row r="684" customFormat="false" ht="15" hidden="false" customHeight="false" outlineLevel="0" collapsed="false">
      <c r="A684" s="10" t="s">
        <v>2605</v>
      </c>
      <c r="B684" s="10" t="s">
        <v>1103</v>
      </c>
      <c r="C684" s="10" t="s">
        <v>2606</v>
      </c>
      <c r="D684" s="10" t="s">
        <v>1136</v>
      </c>
      <c r="E684" s="10" t="s">
        <v>411</v>
      </c>
      <c r="F684" s="16" t="n">
        <f aca="false">Growth_Decomposition!P17</f>
        <v>1.14</v>
      </c>
      <c r="G684" s="12" t="n">
        <v>1.14</v>
      </c>
      <c r="H684" s="26" t="n">
        <f aca="false">F684-G684</f>
        <v>0</v>
      </c>
      <c r="I684" s="10" t="str">
        <f aca="false">IF(ABS(H684)&lt;=0.000001,"PASS","FAIL")</f>
        <v>PASS</v>
      </c>
      <c r="J684" s="10" t="s">
        <v>2607</v>
      </c>
    </row>
    <row r="685" customFormat="false" ht="15" hidden="false" customHeight="false" outlineLevel="0" collapsed="false">
      <c r="A685" s="10" t="s">
        <v>2608</v>
      </c>
      <c r="B685" s="10" t="s">
        <v>1103</v>
      </c>
      <c r="C685" s="10" t="s">
        <v>2609</v>
      </c>
      <c r="D685" s="10" t="s">
        <v>1136</v>
      </c>
      <c r="E685" s="10" t="s">
        <v>412</v>
      </c>
      <c r="F685" s="27" t="n">
        <f aca="false">Growth_Decomposition!S17</f>
        <v>53688</v>
      </c>
      <c r="G685" s="12" t="n">
        <v>53688</v>
      </c>
      <c r="H685" s="10" t="n">
        <f aca="false">F685-G685</f>
        <v>0</v>
      </c>
      <c r="I685" s="10" t="str">
        <f aca="false">IF(ABS(H685)&lt;=0.000001,"PASS","FAIL")</f>
        <v>PASS</v>
      </c>
      <c r="J685" s="10" t="s">
        <v>2610</v>
      </c>
    </row>
    <row r="686" customFormat="false" ht="15" hidden="false" customHeight="false" outlineLevel="0" collapsed="false">
      <c r="A686" s="10" t="s">
        <v>2611</v>
      </c>
      <c r="B686" s="10" t="s">
        <v>1103</v>
      </c>
      <c r="C686" s="10" t="s">
        <v>2612</v>
      </c>
      <c r="D686" s="10" t="s">
        <v>1136</v>
      </c>
      <c r="E686" s="10" t="s">
        <v>413</v>
      </c>
      <c r="F686" s="27" t="n">
        <f aca="false">Growth_Decomposition!W17</f>
        <v>2295</v>
      </c>
      <c r="G686" s="12" t="n">
        <v>2295</v>
      </c>
      <c r="H686" s="10" t="n">
        <f aca="false">F686-G686</f>
        <v>0</v>
      </c>
      <c r="I686" s="10" t="str">
        <f aca="false">IF(ABS(H686)&lt;=0.000001,"PASS","FAIL")</f>
        <v>PASS</v>
      </c>
      <c r="J686" s="10" t="s">
        <v>2613</v>
      </c>
    </row>
    <row r="687" customFormat="false" ht="15" hidden="false" customHeight="false" outlineLevel="0" collapsed="false">
      <c r="A687" s="10" t="s">
        <v>2614</v>
      </c>
      <c r="B687" s="10" t="s">
        <v>1103</v>
      </c>
      <c r="C687" s="10" t="s">
        <v>2615</v>
      </c>
      <c r="D687" s="10" t="s">
        <v>1136</v>
      </c>
      <c r="E687" s="10" t="s">
        <v>414</v>
      </c>
      <c r="F687" s="27" t="n">
        <f aca="false">Growth_Decomposition!AA17</f>
        <v>833</v>
      </c>
      <c r="G687" s="12" t="n">
        <v>833</v>
      </c>
      <c r="H687" s="10" t="n">
        <f aca="false">F687-G687</f>
        <v>0</v>
      </c>
      <c r="I687" s="10" t="str">
        <f aca="false">IF(ABS(H687)&lt;=0.000001,"PASS","FAIL")</f>
        <v>PASS</v>
      </c>
      <c r="J687" s="10" t="s">
        <v>2616</v>
      </c>
    </row>
    <row r="688" customFormat="false" ht="15" hidden="false" customHeight="false" outlineLevel="0" collapsed="false">
      <c r="A688" s="10" t="s">
        <v>2617</v>
      </c>
      <c r="B688" s="10" t="s">
        <v>1102</v>
      </c>
      <c r="C688" s="10" t="s">
        <v>2618</v>
      </c>
      <c r="D688" s="10" t="s">
        <v>1136</v>
      </c>
      <c r="E688" s="10" t="s">
        <v>105</v>
      </c>
      <c r="F688" s="22" t="n">
        <f aca="false">Growth_Decomposition!B18</f>
        <v>216913</v>
      </c>
      <c r="G688" s="12" t="n">
        <v>216913</v>
      </c>
      <c r="H688" s="10" t="n">
        <f aca="false">F688-G688</f>
        <v>0</v>
      </c>
      <c r="I688" s="10" t="str">
        <f aca="false">IF(ABS(H688)&lt;=0.000001,"PASS","FAIL")</f>
        <v>PASS</v>
      </c>
      <c r="J688" s="10" t="s">
        <v>2619</v>
      </c>
    </row>
    <row r="689" customFormat="false" ht="15" hidden="false" customHeight="false" outlineLevel="0" collapsed="false">
      <c r="A689" s="10" t="s">
        <v>2620</v>
      </c>
      <c r="B689" s="10" t="s">
        <v>1103</v>
      </c>
      <c r="C689" s="10" t="s">
        <v>2621</v>
      </c>
      <c r="D689" s="10" t="s">
        <v>1136</v>
      </c>
      <c r="E689" s="10" t="s">
        <v>416</v>
      </c>
      <c r="F689" s="16" t="n">
        <f aca="false">Growth_Decomposition!G18</f>
        <v>1.1</v>
      </c>
      <c r="G689" s="12" t="n">
        <v>1.1</v>
      </c>
      <c r="H689" s="26" t="n">
        <f aca="false">F689-G689</f>
        <v>0</v>
      </c>
      <c r="I689" s="10" t="str">
        <f aca="false">IF(ABS(H689)&lt;=0.000001,"PASS","FAIL")</f>
        <v>PASS</v>
      </c>
      <c r="J689" s="10" t="s">
        <v>2622</v>
      </c>
    </row>
    <row r="690" customFormat="false" ht="15" hidden="false" customHeight="false" outlineLevel="0" collapsed="false">
      <c r="A690" s="10" t="s">
        <v>2623</v>
      </c>
      <c r="B690" s="10" t="s">
        <v>1103</v>
      </c>
      <c r="C690" s="10" t="s">
        <v>2624</v>
      </c>
      <c r="D690" s="10" t="s">
        <v>1136</v>
      </c>
      <c r="E690" s="10" t="s">
        <v>417</v>
      </c>
      <c r="F690" s="16" t="n">
        <f aca="false">Growth_Decomposition!J18</f>
        <v>1.14</v>
      </c>
      <c r="G690" s="12" t="n">
        <v>1.14</v>
      </c>
      <c r="H690" s="26" t="n">
        <f aca="false">F690-G690</f>
        <v>0</v>
      </c>
      <c r="I690" s="10" t="str">
        <f aca="false">IF(ABS(H690)&lt;=0.000001,"PASS","FAIL")</f>
        <v>PASS</v>
      </c>
      <c r="J690" s="10" t="s">
        <v>2625</v>
      </c>
    </row>
    <row r="691" customFormat="false" ht="15" hidden="false" customHeight="false" outlineLevel="0" collapsed="false">
      <c r="A691" s="10" t="s">
        <v>2626</v>
      </c>
      <c r="B691" s="10" t="s">
        <v>1103</v>
      </c>
      <c r="C691" s="10" t="s">
        <v>2627</v>
      </c>
      <c r="D691" s="10" t="s">
        <v>1136</v>
      </c>
      <c r="E691" s="10" t="s">
        <v>418</v>
      </c>
      <c r="F691" s="16" t="n">
        <f aca="false">Growth_Decomposition!M18</f>
        <v>1.14</v>
      </c>
      <c r="G691" s="12" t="n">
        <v>1.14</v>
      </c>
      <c r="H691" s="26" t="n">
        <f aca="false">F691-G691</f>
        <v>0</v>
      </c>
      <c r="I691" s="10" t="str">
        <f aca="false">IF(ABS(H691)&lt;=0.000001,"PASS","FAIL")</f>
        <v>PASS</v>
      </c>
      <c r="J691" s="10" t="s">
        <v>2628</v>
      </c>
    </row>
    <row r="692" customFormat="false" ht="15" hidden="false" customHeight="false" outlineLevel="0" collapsed="false">
      <c r="A692" s="10" t="s">
        <v>2629</v>
      </c>
      <c r="B692" s="10" t="s">
        <v>1103</v>
      </c>
      <c r="C692" s="10" t="s">
        <v>2630</v>
      </c>
      <c r="D692" s="10" t="s">
        <v>1136</v>
      </c>
      <c r="E692" s="10" t="s">
        <v>419</v>
      </c>
      <c r="F692" s="16" t="n">
        <f aca="false">Growth_Decomposition!P18</f>
        <v>1.13</v>
      </c>
      <c r="G692" s="12" t="n">
        <v>1.13</v>
      </c>
      <c r="H692" s="26" t="n">
        <f aca="false">F692-G692</f>
        <v>0</v>
      </c>
      <c r="I692" s="10" t="str">
        <f aca="false">IF(ABS(H692)&lt;=0.000001,"PASS","FAIL")</f>
        <v>PASS</v>
      </c>
      <c r="J692" s="10" t="s">
        <v>2631</v>
      </c>
    </row>
    <row r="693" customFormat="false" ht="15" hidden="false" customHeight="false" outlineLevel="0" collapsed="false">
      <c r="A693" s="10" t="s">
        <v>2632</v>
      </c>
      <c r="B693" s="10" t="s">
        <v>1103</v>
      </c>
      <c r="C693" s="10" t="s">
        <v>2633</v>
      </c>
      <c r="D693" s="10" t="s">
        <v>1136</v>
      </c>
      <c r="E693" s="10" t="s">
        <v>420</v>
      </c>
      <c r="F693" s="27" t="n">
        <f aca="false">Growth_Decomposition!S18</f>
        <v>55515</v>
      </c>
      <c r="G693" s="12" t="n">
        <v>55515</v>
      </c>
      <c r="H693" s="10" t="n">
        <f aca="false">F693-G693</f>
        <v>0</v>
      </c>
      <c r="I693" s="10" t="str">
        <f aca="false">IF(ABS(H693)&lt;=0.000001,"PASS","FAIL")</f>
        <v>PASS</v>
      </c>
      <c r="J693" s="10" t="s">
        <v>2634</v>
      </c>
    </row>
    <row r="694" customFormat="false" ht="15" hidden="false" customHeight="false" outlineLevel="0" collapsed="false">
      <c r="A694" s="10" t="s">
        <v>2635</v>
      </c>
      <c r="B694" s="10" t="s">
        <v>1103</v>
      </c>
      <c r="C694" s="10" t="s">
        <v>2636</v>
      </c>
      <c r="D694" s="10" t="s">
        <v>1136</v>
      </c>
      <c r="E694" s="10" t="s">
        <v>421</v>
      </c>
      <c r="F694" s="27" t="n">
        <f aca="false">Growth_Decomposition!W18</f>
        <v>2491</v>
      </c>
      <c r="G694" s="12" t="n">
        <v>2491</v>
      </c>
      <c r="H694" s="10" t="n">
        <f aca="false">F694-G694</f>
        <v>0</v>
      </c>
      <c r="I694" s="10" t="str">
        <f aca="false">IF(ABS(H694)&lt;=0.000001,"PASS","FAIL")</f>
        <v>PASS</v>
      </c>
      <c r="J694" s="10" t="s">
        <v>2637</v>
      </c>
    </row>
    <row r="695" customFormat="false" ht="15" hidden="false" customHeight="false" outlineLevel="0" collapsed="false">
      <c r="A695" s="10" t="s">
        <v>2638</v>
      </c>
      <c r="B695" s="10" t="s">
        <v>1103</v>
      </c>
      <c r="C695" s="10" t="s">
        <v>2639</v>
      </c>
      <c r="D695" s="10" t="s">
        <v>1136</v>
      </c>
      <c r="E695" s="10" t="s">
        <v>422</v>
      </c>
      <c r="F695" s="27" t="n">
        <f aca="false">Growth_Decomposition!AA18</f>
        <v>911</v>
      </c>
      <c r="G695" s="12" t="n">
        <v>911</v>
      </c>
      <c r="H695" s="10" t="n">
        <f aca="false">F695-G695</f>
        <v>0</v>
      </c>
      <c r="I695" s="10" t="str">
        <f aca="false">IF(ABS(H695)&lt;=0.000001,"PASS","FAIL")</f>
        <v>PASS</v>
      </c>
      <c r="J695" s="10" t="s">
        <v>2640</v>
      </c>
    </row>
    <row r="696" customFormat="false" ht="15" hidden="false" customHeight="false" outlineLevel="0" collapsed="false">
      <c r="A696" s="10" t="s">
        <v>2641</v>
      </c>
      <c r="B696" s="10" t="s">
        <v>1102</v>
      </c>
      <c r="C696" s="10" t="s">
        <v>2642</v>
      </c>
      <c r="D696" s="10" t="s">
        <v>1136</v>
      </c>
      <c r="E696" s="10" t="s">
        <v>110</v>
      </c>
      <c r="F696" s="22" t="n">
        <f aca="false">Growth_Decomposition!B19</f>
        <v>236106</v>
      </c>
      <c r="G696" s="12" t="n">
        <v>236106</v>
      </c>
      <c r="H696" s="10" t="n">
        <f aca="false">F696-G696</f>
        <v>0</v>
      </c>
      <c r="I696" s="10" t="str">
        <f aca="false">IF(ABS(H696)&lt;=0.000001,"PASS","FAIL")</f>
        <v>PASS</v>
      </c>
      <c r="J696" s="10" t="s">
        <v>2643</v>
      </c>
    </row>
    <row r="697" customFormat="false" ht="15" hidden="false" customHeight="false" outlineLevel="0" collapsed="false">
      <c r="A697" s="10" t="s">
        <v>2644</v>
      </c>
      <c r="B697" s="10" t="s">
        <v>1103</v>
      </c>
      <c r="C697" s="10" t="s">
        <v>2645</v>
      </c>
      <c r="D697" s="10" t="s">
        <v>1136</v>
      </c>
      <c r="E697" s="10" t="s">
        <v>424</v>
      </c>
      <c r="F697" s="16" t="n">
        <f aca="false">Growth_Decomposition!G19</f>
        <v>1.1</v>
      </c>
      <c r="G697" s="12" t="n">
        <v>1.1</v>
      </c>
      <c r="H697" s="26" t="n">
        <f aca="false">F697-G697</f>
        <v>0</v>
      </c>
      <c r="I697" s="10" t="str">
        <f aca="false">IF(ABS(H697)&lt;=0.000001,"PASS","FAIL")</f>
        <v>PASS</v>
      </c>
      <c r="J697" s="10" t="s">
        <v>2646</v>
      </c>
    </row>
    <row r="698" customFormat="false" ht="15" hidden="false" customHeight="false" outlineLevel="0" collapsed="false">
      <c r="A698" s="10" t="s">
        <v>2647</v>
      </c>
      <c r="B698" s="10" t="s">
        <v>1103</v>
      </c>
      <c r="C698" s="10" t="s">
        <v>2648</v>
      </c>
      <c r="D698" s="10" t="s">
        <v>1136</v>
      </c>
      <c r="E698" s="10" t="s">
        <v>425</v>
      </c>
      <c r="F698" s="16" t="n">
        <f aca="false">Growth_Decomposition!J19</f>
        <v>1.14</v>
      </c>
      <c r="G698" s="12" t="n">
        <v>1.14</v>
      </c>
      <c r="H698" s="26" t="n">
        <f aca="false">F698-G698</f>
        <v>0</v>
      </c>
      <c r="I698" s="10" t="str">
        <f aca="false">IF(ABS(H698)&lt;=0.000001,"PASS","FAIL")</f>
        <v>PASS</v>
      </c>
      <c r="J698" s="10" t="s">
        <v>2649</v>
      </c>
    </row>
    <row r="699" customFormat="false" ht="15" hidden="false" customHeight="false" outlineLevel="0" collapsed="false">
      <c r="A699" s="10" t="s">
        <v>2650</v>
      </c>
      <c r="B699" s="10" t="s">
        <v>1103</v>
      </c>
      <c r="C699" s="10" t="s">
        <v>2651</v>
      </c>
      <c r="D699" s="10" t="s">
        <v>1136</v>
      </c>
      <c r="E699" s="10" t="s">
        <v>426</v>
      </c>
      <c r="F699" s="16" t="n">
        <f aca="false">Growth_Decomposition!M19</f>
        <v>1.14</v>
      </c>
      <c r="G699" s="12" t="n">
        <v>1.14</v>
      </c>
      <c r="H699" s="26" t="n">
        <f aca="false">F699-G699</f>
        <v>0</v>
      </c>
      <c r="I699" s="10" t="str">
        <f aca="false">IF(ABS(H699)&lt;=0.000001,"PASS","FAIL")</f>
        <v>PASS</v>
      </c>
      <c r="J699" s="10" t="s">
        <v>2652</v>
      </c>
    </row>
    <row r="700" customFormat="false" ht="15" hidden="false" customHeight="false" outlineLevel="0" collapsed="false">
      <c r="A700" s="10" t="s">
        <v>2653</v>
      </c>
      <c r="B700" s="10" t="s">
        <v>1103</v>
      </c>
      <c r="C700" s="10" t="s">
        <v>2654</v>
      </c>
      <c r="D700" s="10" t="s">
        <v>1136</v>
      </c>
      <c r="E700" s="10" t="s">
        <v>427</v>
      </c>
      <c r="F700" s="16" t="n">
        <f aca="false">Growth_Decomposition!P19</f>
        <v>1.14</v>
      </c>
      <c r="G700" s="12" t="n">
        <v>1.14</v>
      </c>
      <c r="H700" s="26" t="n">
        <f aca="false">F700-G700</f>
        <v>0</v>
      </c>
      <c r="I700" s="10" t="str">
        <f aca="false">IF(ABS(H700)&lt;=0.000001,"PASS","FAIL")</f>
        <v>PASS</v>
      </c>
      <c r="J700" s="10" t="s">
        <v>2655</v>
      </c>
    </row>
    <row r="701" customFormat="false" ht="15" hidden="false" customHeight="false" outlineLevel="0" collapsed="false">
      <c r="A701" s="10" t="s">
        <v>2656</v>
      </c>
      <c r="B701" s="10" t="s">
        <v>1103</v>
      </c>
      <c r="C701" s="10" t="s">
        <v>2657</v>
      </c>
      <c r="D701" s="10" t="s">
        <v>1136</v>
      </c>
      <c r="E701" s="10" t="s">
        <v>428</v>
      </c>
      <c r="F701" s="27" t="n">
        <f aca="false">Growth_Decomposition!S19</f>
        <v>57203</v>
      </c>
      <c r="G701" s="12" t="n">
        <v>57203</v>
      </c>
      <c r="H701" s="10" t="n">
        <f aca="false">F701-G701</f>
        <v>0</v>
      </c>
      <c r="I701" s="10" t="str">
        <f aca="false">IF(ABS(H701)&lt;=0.000001,"PASS","FAIL")</f>
        <v>PASS</v>
      </c>
      <c r="J701" s="10" t="s">
        <v>2658</v>
      </c>
    </row>
    <row r="702" customFormat="false" ht="15" hidden="false" customHeight="false" outlineLevel="0" collapsed="false">
      <c r="A702" s="10" t="s">
        <v>2659</v>
      </c>
      <c r="B702" s="10" t="s">
        <v>1103</v>
      </c>
      <c r="C702" s="10" t="s">
        <v>2660</v>
      </c>
      <c r="D702" s="10" t="s">
        <v>1136</v>
      </c>
      <c r="E702" s="10" t="s">
        <v>429</v>
      </c>
      <c r="F702" s="27" t="n">
        <f aca="false">Growth_Decomposition!W19</f>
        <v>2713</v>
      </c>
      <c r="G702" s="12" t="n">
        <v>2713</v>
      </c>
      <c r="H702" s="10" t="n">
        <f aca="false">F702-G702</f>
        <v>0</v>
      </c>
      <c r="I702" s="10" t="str">
        <f aca="false">IF(ABS(H702)&lt;=0.000001,"PASS","FAIL")</f>
        <v>PASS</v>
      </c>
      <c r="J702" s="10" t="s">
        <v>2661</v>
      </c>
    </row>
    <row r="703" customFormat="false" ht="15" hidden="false" customHeight="false" outlineLevel="0" collapsed="false">
      <c r="A703" s="10" t="s">
        <v>2662</v>
      </c>
      <c r="B703" s="10" t="s">
        <v>1103</v>
      </c>
      <c r="C703" s="10" t="s">
        <v>2663</v>
      </c>
      <c r="D703" s="10" t="s">
        <v>1136</v>
      </c>
      <c r="E703" s="10" t="s">
        <v>430</v>
      </c>
      <c r="F703" s="27" t="n">
        <f aca="false">Growth_Decomposition!AA19</f>
        <v>1009</v>
      </c>
      <c r="G703" s="12" t="n">
        <v>1009</v>
      </c>
      <c r="H703" s="10" t="n">
        <f aca="false">F703-G703</f>
        <v>0</v>
      </c>
      <c r="I703" s="10" t="str">
        <f aca="false">IF(ABS(H703)&lt;=0.000001,"PASS","FAIL")</f>
        <v>PASS</v>
      </c>
      <c r="J703" s="10" t="s">
        <v>2664</v>
      </c>
    </row>
    <row r="704" customFormat="false" ht="15" hidden="false" customHeight="false" outlineLevel="0" collapsed="false">
      <c r="A704" s="10" t="s">
        <v>2665</v>
      </c>
      <c r="B704" s="10" t="s">
        <v>1102</v>
      </c>
      <c r="C704" s="10" t="s">
        <v>2666</v>
      </c>
      <c r="D704" s="10" t="s">
        <v>1136</v>
      </c>
      <c r="E704" s="10" t="s">
        <v>115</v>
      </c>
      <c r="F704" s="22" t="n">
        <f aca="false">Growth_Decomposition!B20</f>
        <v>251000</v>
      </c>
      <c r="G704" s="12" t="n">
        <v>251000</v>
      </c>
      <c r="H704" s="10" t="n">
        <f aca="false">F704-G704</f>
        <v>0</v>
      </c>
      <c r="I704" s="10" t="str">
        <f aca="false">IF(ABS(H704)&lt;=0.000001,"PASS","FAIL")</f>
        <v>PASS</v>
      </c>
      <c r="J704" s="10" t="s">
        <v>2667</v>
      </c>
    </row>
    <row r="705" customFormat="false" ht="15" hidden="false" customHeight="false" outlineLevel="0" collapsed="false">
      <c r="A705" s="10" t="s">
        <v>2668</v>
      </c>
      <c r="B705" s="10" t="s">
        <v>1103</v>
      </c>
      <c r="C705" s="10" t="s">
        <v>2669</v>
      </c>
      <c r="D705" s="10" t="s">
        <v>1136</v>
      </c>
      <c r="E705" s="10" t="s">
        <v>431</v>
      </c>
      <c r="F705" s="16" t="n">
        <f aca="false">Growth_Decomposition!G20</f>
        <v>1.11</v>
      </c>
      <c r="G705" s="12" t="n">
        <v>1.11</v>
      </c>
      <c r="H705" s="26" t="n">
        <f aca="false">F705-G705</f>
        <v>0</v>
      </c>
      <c r="I705" s="10" t="str">
        <f aca="false">IF(ABS(H705)&lt;=0.000001,"PASS","FAIL")</f>
        <v>PASS</v>
      </c>
      <c r="J705" s="10" t="s">
        <v>2670</v>
      </c>
    </row>
    <row r="706" customFormat="false" ht="15" hidden="false" customHeight="false" outlineLevel="0" collapsed="false">
      <c r="A706" s="10" t="s">
        <v>2671</v>
      </c>
      <c r="B706" s="10" t="s">
        <v>1103</v>
      </c>
      <c r="C706" s="10" t="s">
        <v>2672</v>
      </c>
      <c r="D706" s="10" t="s">
        <v>1136</v>
      </c>
      <c r="E706" s="10" t="s">
        <v>432</v>
      </c>
      <c r="F706" s="16" t="n">
        <f aca="false">Growth_Decomposition!J20</f>
        <v>1.14</v>
      </c>
      <c r="G706" s="12" t="n">
        <v>1.14</v>
      </c>
      <c r="H706" s="26" t="n">
        <f aca="false">F706-G706</f>
        <v>0</v>
      </c>
      <c r="I706" s="10" t="str">
        <f aca="false">IF(ABS(H706)&lt;=0.000001,"PASS","FAIL")</f>
        <v>PASS</v>
      </c>
      <c r="J706" s="10" t="s">
        <v>2673</v>
      </c>
    </row>
    <row r="707" customFormat="false" ht="15" hidden="false" customHeight="false" outlineLevel="0" collapsed="false">
      <c r="A707" s="10" t="s">
        <v>2674</v>
      </c>
      <c r="B707" s="10" t="s">
        <v>1103</v>
      </c>
      <c r="C707" s="10" t="s">
        <v>2675</v>
      </c>
      <c r="D707" s="10" t="s">
        <v>1136</v>
      </c>
      <c r="E707" s="10" t="s">
        <v>433</v>
      </c>
      <c r="F707" s="16" t="n">
        <f aca="false">Growth_Decomposition!M20</f>
        <v>1.15</v>
      </c>
      <c r="G707" s="12" t="n">
        <v>1.15</v>
      </c>
      <c r="H707" s="26" t="n">
        <f aca="false">F707-G707</f>
        <v>0</v>
      </c>
      <c r="I707" s="10" t="str">
        <f aca="false">IF(ABS(H707)&lt;=0.000001,"PASS","FAIL")</f>
        <v>PASS</v>
      </c>
      <c r="J707" s="10" t="s">
        <v>2676</v>
      </c>
    </row>
    <row r="708" customFormat="false" ht="15" hidden="false" customHeight="false" outlineLevel="0" collapsed="false">
      <c r="A708" s="10" t="s">
        <v>2677</v>
      </c>
      <c r="B708" s="10" t="s">
        <v>1103</v>
      </c>
      <c r="C708" s="10" t="s">
        <v>2678</v>
      </c>
      <c r="D708" s="10" t="s">
        <v>1136</v>
      </c>
      <c r="E708" s="10" t="s">
        <v>434</v>
      </c>
      <c r="F708" s="16" t="n">
        <f aca="false">Growth_Decomposition!P20</f>
        <v>1.15</v>
      </c>
      <c r="G708" s="12" t="n">
        <v>1.15</v>
      </c>
      <c r="H708" s="26" t="n">
        <f aca="false">F708-G708</f>
        <v>0</v>
      </c>
      <c r="I708" s="10" t="str">
        <f aca="false">IF(ABS(H708)&lt;=0.000001,"PASS","FAIL")</f>
        <v>PASS</v>
      </c>
      <c r="J708" s="10" t="s">
        <v>2679</v>
      </c>
    </row>
    <row r="709" customFormat="false" ht="15" hidden="false" customHeight="false" outlineLevel="0" collapsed="false">
      <c r="A709" s="10" t="s">
        <v>2680</v>
      </c>
      <c r="B709" s="10" t="s">
        <v>1103</v>
      </c>
      <c r="C709" s="10" t="s">
        <v>2681</v>
      </c>
      <c r="D709" s="10" t="s">
        <v>1136</v>
      </c>
      <c r="E709" s="10" t="s">
        <v>435</v>
      </c>
      <c r="F709" s="27" t="n">
        <f aca="false">Growth_Decomposition!S20</f>
        <v>58760</v>
      </c>
      <c r="G709" s="12" t="n">
        <v>58760</v>
      </c>
      <c r="H709" s="10" t="n">
        <f aca="false">F709-G709</f>
        <v>0</v>
      </c>
      <c r="I709" s="10" t="str">
        <f aca="false">IF(ABS(H709)&lt;=0.000001,"PASS","FAIL")</f>
        <v>PASS</v>
      </c>
      <c r="J709" s="10" t="s">
        <v>2682</v>
      </c>
    </row>
    <row r="710" customFormat="false" ht="15" hidden="false" customHeight="false" outlineLevel="0" collapsed="false">
      <c r="A710" s="10" t="s">
        <v>2683</v>
      </c>
      <c r="B710" s="10" t="s">
        <v>1103</v>
      </c>
      <c r="C710" s="10" t="s">
        <v>2684</v>
      </c>
      <c r="D710" s="10" t="s">
        <v>1136</v>
      </c>
      <c r="E710" s="10" t="s">
        <v>436</v>
      </c>
      <c r="F710" s="27" t="n">
        <f aca="false">Growth_Decomposition!W20</f>
        <v>2907</v>
      </c>
      <c r="G710" s="12" t="n">
        <v>2907</v>
      </c>
      <c r="H710" s="10" t="n">
        <f aca="false">F710-G710</f>
        <v>0</v>
      </c>
      <c r="I710" s="10" t="str">
        <f aca="false">IF(ABS(H710)&lt;=0.000001,"PASS","FAIL")</f>
        <v>PASS</v>
      </c>
      <c r="J710" s="10" t="s">
        <v>2685</v>
      </c>
    </row>
    <row r="711" customFormat="false" ht="15" hidden="false" customHeight="false" outlineLevel="0" collapsed="false">
      <c r="A711" s="10" t="s">
        <v>2686</v>
      </c>
      <c r="B711" s="10" t="s">
        <v>1103</v>
      </c>
      <c r="C711" s="10" t="s">
        <v>2687</v>
      </c>
      <c r="D711" s="10" t="s">
        <v>1136</v>
      </c>
      <c r="E711" s="10" t="s">
        <v>437</v>
      </c>
      <c r="F711" s="27" t="n">
        <f aca="false">Growth_Decomposition!AA20</f>
        <v>1080</v>
      </c>
      <c r="G711" s="12" t="n">
        <v>1080</v>
      </c>
      <c r="H711" s="10" t="n">
        <f aca="false">F711-G711</f>
        <v>0</v>
      </c>
      <c r="I711" s="10" t="str">
        <f aca="false">IF(ABS(H711)&lt;=0.000001,"PASS","FAIL")</f>
        <v>PASS</v>
      </c>
      <c r="J711" s="10" t="s">
        <v>2688</v>
      </c>
    </row>
    <row r="712" customFormat="false" ht="15" hidden="false" customHeight="false" outlineLevel="0" collapsed="false">
      <c r="A712" s="10" t="s">
        <v>2689</v>
      </c>
      <c r="B712" s="10" t="s">
        <v>1103</v>
      </c>
      <c r="C712" s="10" t="s">
        <v>2690</v>
      </c>
      <c r="D712" s="10" t="s">
        <v>1136</v>
      </c>
      <c r="E712" s="10" t="s">
        <v>438</v>
      </c>
      <c r="F712" s="27" t="n">
        <f aca="false">Growth_Decomposition!AE20</f>
        <v>45</v>
      </c>
      <c r="G712" s="12" t="n">
        <v>45</v>
      </c>
      <c r="H712" s="10" t="n">
        <f aca="false">F712-G712</f>
        <v>0</v>
      </c>
      <c r="I712" s="10" t="str">
        <f aca="false">IF(ABS(H712)&lt;=0.000001,"PASS","FAIL")</f>
        <v>PASS</v>
      </c>
      <c r="J712" s="10" t="s">
        <v>2691</v>
      </c>
    </row>
    <row r="713" customFormat="false" ht="15" hidden="false" customHeight="false" outlineLevel="0" collapsed="false">
      <c r="A713" s="10" t="s">
        <v>2692</v>
      </c>
      <c r="B713" s="10" t="s">
        <v>1103</v>
      </c>
      <c r="C713" s="10" t="s">
        <v>2693</v>
      </c>
      <c r="D713" s="10" t="s">
        <v>1136</v>
      </c>
      <c r="E713" s="10" t="s">
        <v>439</v>
      </c>
      <c r="F713" s="16" t="n">
        <f aca="false">Growth_Decomposition!AI20</f>
        <v>0.79</v>
      </c>
      <c r="G713" s="12" t="n">
        <v>0.79</v>
      </c>
      <c r="H713" s="26" t="n">
        <f aca="false">F713-G713</f>
        <v>0</v>
      </c>
      <c r="I713" s="10" t="str">
        <f aca="false">IF(ABS(H713)&lt;=0.000001,"PASS","FAIL")</f>
        <v>PASS</v>
      </c>
      <c r="J713" s="10" t="s">
        <v>2694</v>
      </c>
    </row>
    <row r="714" customFormat="false" ht="15" hidden="false" customHeight="false" outlineLevel="0" collapsed="false">
      <c r="A714" s="10" t="s">
        <v>2695</v>
      </c>
      <c r="B714" s="10" t="s">
        <v>1103</v>
      </c>
      <c r="C714" s="10" t="s">
        <v>2696</v>
      </c>
      <c r="D714" s="10" t="s">
        <v>1136</v>
      </c>
      <c r="E714" s="10" t="s">
        <v>440</v>
      </c>
      <c r="F714" s="16" t="n">
        <f aca="false">Growth_Decomposition!AL20</f>
        <v>0.34</v>
      </c>
      <c r="G714" s="12" t="n">
        <v>0.34</v>
      </c>
      <c r="H714" s="26" t="n">
        <f aca="false">F714-G714</f>
        <v>0</v>
      </c>
      <c r="I714" s="10" t="str">
        <f aca="false">IF(ABS(H714)&lt;=0.000001,"PASS","FAIL")</f>
        <v>PASS</v>
      </c>
      <c r="J714" s="10" t="s">
        <v>2697</v>
      </c>
    </row>
    <row r="715" customFormat="false" ht="15" hidden="false" customHeight="false" outlineLevel="0" collapsed="false">
      <c r="A715" s="10" t="s">
        <v>2698</v>
      </c>
      <c r="B715" s="10" t="s">
        <v>1103</v>
      </c>
      <c r="C715" s="10" t="s">
        <v>2699</v>
      </c>
      <c r="D715" s="10" t="s">
        <v>1136</v>
      </c>
      <c r="E715" s="10" t="s">
        <v>441</v>
      </c>
      <c r="F715" s="16" t="n">
        <f aca="false">Growth_Decomposition!AO20</f>
        <v>0.22</v>
      </c>
      <c r="G715" s="12" t="n">
        <v>0.22</v>
      </c>
      <c r="H715" s="26" t="n">
        <f aca="false">F715-G715</f>
        <v>0</v>
      </c>
      <c r="I715" s="10" t="str">
        <f aca="false">IF(ABS(H715)&lt;=0.000001,"PASS","FAIL")</f>
        <v>PASS</v>
      </c>
      <c r="J715" s="10" t="s">
        <v>2700</v>
      </c>
    </row>
    <row r="716" customFormat="false" ht="15" hidden="false" customHeight="false" outlineLevel="0" collapsed="false">
      <c r="A716" s="10" t="s">
        <v>2701</v>
      </c>
      <c r="B716" s="10" t="s">
        <v>1103</v>
      </c>
      <c r="C716" s="10" t="s">
        <v>2702</v>
      </c>
      <c r="D716" s="10" t="s">
        <v>1136</v>
      </c>
      <c r="E716" s="10" t="s">
        <v>442</v>
      </c>
      <c r="F716" s="16" t="n">
        <f aca="false">Growth_Decomposition!AR20</f>
        <v>0.04</v>
      </c>
      <c r="G716" s="12" t="n">
        <v>0.04</v>
      </c>
      <c r="H716" s="26" t="n">
        <f aca="false">F716-G716</f>
        <v>0</v>
      </c>
      <c r="I716" s="10" t="str">
        <f aca="false">IF(ABS(H716)&lt;=0.000001,"PASS","FAIL")</f>
        <v>PASS</v>
      </c>
      <c r="J716" s="10" t="s">
        <v>2703</v>
      </c>
    </row>
    <row r="717" customFormat="false" ht="15" hidden="false" customHeight="false" outlineLevel="0" collapsed="false">
      <c r="A717" s="10" t="s">
        <v>2704</v>
      </c>
      <c r="B717" s="10" t="s">
        <v>1102</v>
      </c>
      <c r="C717" s="10" t="s">
        <v>2705</v>
      </c>
      <c r="D717" s="10" t="s">
        <v>1136</v>
      </c>
      <c r="E717" s="10" t="s">
        <v>119</v>
      </c>
      <c r="F717" s="22" t="n">
        <f aca="false">Growth_Decomposition!B21</f>
        <v>267976</v>
      </c>
      <c r="G717" s="12" t="n">
        <v>267976</v>
      </c>
      <c r="H717" s="10" t="n">
        <f aca="false">F717-G717</f>
        <v>0</v>
      </c>
      <c r="I717" s="10" t="str">
        <f aca="false">IF(ABS(H717)&lt;=0.000001,"PASS","FAIL")</f>
        <v>PASS</v>
      </c>
      <c r="J717" s="10" t="s">
        <v>2706</v>
      </c>
    </row>
    <row r="718" customFormat="false" ht="15" hidden="false" customHeight="false" outlineLevel="0" collapsed="false">
      <c r="A718" s="10" t="s">
        <v>2707</v>
      </c>
      <c r="B718" s="10" t="s">
        <v>1103</v>
      </c>
      <c r="C718" s="10" t="s">
        <v>2708</v>
      </c>
      <c r="D718" s="10" t="s">
        <v>1136</v>
      </c>
      <c r="E718" s="10" t="s">
        <v>443</v>
      </c>
      <c r="F718" s="16" t="n">
        <f aca="false">Growth_Decomposition!G21</f>
        <v>1.12</v>
      </c>
      <c r="G718" s="12" t="n">
        <v>1.12</v>
      </c>
      <c r="H718" s="26" t="n">
        <f aca="false">F718-G718</f>
        <v>0</v>
      </c>
      <c r="I718" s="10" t="str">
        <f aca="false">IF(ABS(H718)&lt;=0.000001,"PASS","FAIL")</f>
        <v>PASS</v>
      </c>
      <c r="J718" s="10" t="s">
        <v>2709</v>
      </c>
    </row>
    <row r="719" customFormat="false" ht="15" hidden="false" customHeight="false" outlineLevel="0" collapsed="false">
      <c r="A719" s="10" t="s">
        <v>2710</v>
      </c>
      <c r="B719" s="10" t="s">
        <v>1103</v>
      </c>
      <c r="C719" s="10" t="s">
        <v>2711</v>
      </c>
      <c r="D719" s="10" t="s">
        <v>1136</v>
      </c>
      <c r="E719" s="10" t="s">
        <v>444</v>
      </c>
      <c r="F719" s="16" t="n">
        <f aca="false">Growth_Decomposition!J21</f>
        <v>1.15</v>
      </c>
      <c r="G719" s="12" t="n">
        <v>1.15</v>
      </c>
      <c r="H719" s="26" t="n">
        <f aca="false">F719-G719</f>
        <v>0</v>
      </c>
      <c r="I719" s="10" t="str">
        <f aca="false">IF(ABS(H719)&lt;=0.000001,"PASS","FAIL")</f>
        <v>PASS</v>
      </c>
      <c r="J719" s="10" t="s">
        <v>2712</v>
      </c>
    </row>
    <row r="720" customFormat="false" ht="15" hidden="false" customHeight="false" outlineLevel="0" collapsed="false">
      <c r="A720" s="10" t="s">
        <v>2713</v>
      </c>
      <c r="B720" s="10" t="s">
        <v>1103</v>
      </c>
      <c r="C720" s="10" t="s">
        <v>2714</v>
      </c>
      <c r="D720" s="10" t="s">
        <v>1136</v>
      </c>
      <c r="E720" s="10" t="s">
        <v>445</v>
      </c>
      <c r="F720" s="16" t="n">
        <f aca="false">Growth_Decomposition!M21</f>
        <v>1.15</v>
      </c>
      <c r="G720" s="12" t="n">
        <v>1.15</v>
      </c>
      <c r="H720" s="26" t="n">
        <f aca="false">F720-G720</f>
        <v>0</v>
      </c>
      <c r="I720" s="10" t="str">
        <f aca="false">IF(ABS(H720)&lt;=0.000001,"PASS","FAIL")</f>
        <v>PASS</v>
      </c>
      <c r="J720" s="10" t="s">
        <v>2715</v>
      </c>
    </row>
    <row r="721" customFormat="false" ht="15" hidden="false" customHeight="false" outlineLevel="0" collapsed="false">
      <c r="A721" s="10" t="s">
        <v>2716</v>
      </c>
      <c r="B721" s="10" t="s">
        <v>1103</v>
      </c>
      <c r="C721" s="10" t="s">
        <v>2717</v>
      </c>
      <c r="D721" s="10" t="s">
        <v>1136</v>
      </c>
      <c r="E721" s="10" t="s">
        <v>446</v>
      </c>
      <c r="F721" s="16" t="n">
        <f aca="false">Growth_Decomposition!P21</f>
        <v>1.16</v>
      </c>
      <c r="G721" s="12" t="n">
        <v>1.16</v>
      </c>
      <c r="H721" s="26" t="n">
        <f aca="false">F721-G721</f>
        <v>0</v>
      </c>
      <c r="I721" s="10" t="str">
        <f aca="false">IF(ABS(H721)&lt;=0.000001,"PASS","FAIL")</f>
        <v>PASS</v>
      </c>
      <c r="J721" s="10" t="s">
        <v>2718</v>
      </c>
    </row>
    <row r="722" customFormat="false" ht="15" hidden="false" customHeight="false" outlineLevel="0" collapsed="false">
      <c r="A722" s="10" t="s">
        <v>2719</v>
      </c>
      <c r="B722" s="10" t="s">
        <v>1103</v>
      </c>
      <c r="C722" s="10" t="s">
        <v>2720</v>
      </c>
      <c r="D722" s="10" t="s">
        <v>1136</v>
      </c>
      <c r="E722" s="10" t="s">
        <v>447</v>
      </c>
      <c r="F722" s="27" t="n">
        <f aca="false">Growth_Decomposition!S21</f>
        <v>59214</v>
      </c>
      <c r="G722" s="12" t="n">
        <v>59214</v>
      </c>
      <c r="H722" s="10" t="n">
        <f aca="false">F722-G722</f>
        <v>0</v>
      </c>
      <c r="I722" s="10" t="str">
        <f aca="false">IF(ABS(H722)&lt;=0.000001,"PASS","FAIL")</f>
        <v>PASS</v>
      </c>
      <c r="J722" s="10" t="s">
        <v>2721</v>
      </c>
    </row>
    <row r="723" customFormat="false" ht="15" hidden="false" customHeight="false" outlineLevel="0" collapsed="false">
      <c r="A723" s="10" t="s">
        <v>2722</v>
      </c>
      <c r="B723" s="10" t="s">
        <v>1103</v>
      </c>
      <c r="C723" s="10" t="s">
        <v>2723</v>
      </c>
      <c r="D723" s="10" t="s">
        <v>1136</v>
      </c>
      <c r="E723" s="10" t="s">
        <v>448</v>
      </c>
      <c r="F723" s="27" t="n">
        <f aca="false">Growth_Decomposition!W21</f>
        <v>3201</v>
      </c>
      <c r="G723" s="12" t="n">
        <v>3201</v>
      </c>
      <c r="H723" s="10" t="n">
        <f aca="false">F723-G723</f>
        <v>0</v>
      </c>
      <c r="I723" s="10" t="str">
        <f aca="false">IF(ABS(H723)&lt;=0.000001,"PASS","FAIL")</f>
        <v>PASS</v>
      </c>
      <c r="J723" s="10" t="s">
        <v>2724</v>
      </c>
    </row>
    <row r="724" customFormat="false" ht="15" hidden="false" customHeight="false" outlineLevel="0" collapsed="false">
      <c r="A724" s="10" t="s">
        <v>2725</v>
      </c>
      <c r="B724" s="10" t="s">
        <v>1103</v>
      </c>
      <c r="C724" s="10" t="s">
        <v>2726</v>
      </c>
      <c r="D724" s="10" t="s">
        <v>1136</v>
      </c>
      <c r="E724" s="10" t="s">
        <v>449</v>
      </c>
      <c r="F724" s="27" t="n">
        <f aca="false">Growth_Decomposition!AA21</f>
        <v>1207</v>
      </c>
      <c r="G724" s="12" t="n">
        <v>1207</v>
      </c>
      <c r="H724" s="10" t="n">
        <f aca="false">F724-G724</f>
        <v>0</v>
      </c>
      <c r="I724" s="10" t="str">
        <f aca="false">IF(ABS(H724)&lt;=0.000001,"PASS","FAIL")</f>
        <v>PASS</v>
      </c>
      <c r="J724" s="10" t="s">
        <v>2727</v>
      </c>
    </row>
    <row r="725" customFormat="false" ht="15" hidden="false" customHeight="false" outlineLevel="0" collapsed="false">
      <c r="A725" s="10" t="s">
        <v>2728</v>
      </c>
      <c r="B725" s="10" t="s">
        <v>1103</v>
      </c>
      <c r="C725" s="10" t="s">
        <v>2729</v>
      </c>
      <c r="D725" s="10" t="s">
        <v>1136</v>
      </c>
      <c r="E725" s="10" t="s">
        <v>450</v>
      </c>
      <c r="F725" s="27" t="n">
        <f aca="false">Growth_Decomposition!AE21</f>
        <v>50</v>
      </c>
      <c r="G725" s="12" t="n">
        <v>50</v>
      </c>
      <c r="H725" s="10" t="n">
        <f aca="false">F725-G725</f>
        <v>0</v>
      </c>
      <c r="I725" s="10" t="str">
        <f aca="false">IF(ABS(H725)&lt;=0.000001,"PASS","FAIL")</f>
        <v>PASS</v>
      </c>
      <c r="J725" s="10" t="s">
        <v>2730</v>
      </c>
    </row>
    <row r="726" customFormat="false" ht="15" hidden="false" customHeight="false" outlineLevel="0" collapsed="false">
      <c r="A726" s="10" t="s">
        <v>2731</v>
      </c>
      <c r="B726" s="10" t="s">
        <v>1103</v>
      </c>
      <c r="C726" s="10" t="s">
        <v>2732</v>
      </c>
      <c r="D726" s="10" t="s">
        <v>1136</v>
      </c>
      <c r="E726" s="10" t="s">
        <v>451</v>
      </c>
      <c r="F726" s="16" t="n">
        <f aca="false">Growth_Decomposition!AI21</f>
        <v>0.79</v>
      </c>
      <c r="G726" s="12" t="n">
        <v>0.79</v>
      </c>
      <c r="H726" s="26" t="n">
        <f aca="false">F726-G726</f>
        <v>0</v>
      </c>
      <c r="I726" s="10" t="str">
        <f aca="false">IF(ABS(H726)&lt;=0.000001,"PASS","FAIL")</f>
        <v>PASS</v>
      </c>
      <c r="J726" s="10" t="s">
        <v>2733</v>
      </c>
    </row>
    <row r="727" customFormat="false" ht="15" hidden="false" customHeight="false" outlineLevel="0" collapsed="false">
      <c r="A727" s="10" t="s">
        <v>2734</v>
      </c>
      <c r="B727" s="10" t="s">
        <v>1103</v>
      </c>
      <c r="C727" s="10" t="s">
        <v>2735</v>
      </c>
      <c r="D727" s="10" t="s">
        <v>1136</v>
      </c>
      <c r="E727" s="10" t="s">
        <v>452</v>
      </c>
      <c r="F727" s="16" t="n">
        <f aca="false">Growth_Decomposition!AL21</f>
        <v>0.36</v>
      </c>
      <c r="G727" s="12" t="n">
        <v>0.36</v>
      </c>
      <c r="H727" s="26" t="n">
        <f aca="false">F727-G727</f>
        <v>0</v>
      </c>
      <c r="I727" s="10" t="str">
        <f aca="false">IF(ABS(H727)&lt;=0.000001,"PASS","FAIL")</f>
        <v>PASS</v>
      </c>
      <c r="J727" s="10" t="s">
        <v>2736</v>
      </c>
    </row>
    <row r="728" customFormat="false" ht="15" hidden="false" customHeight="false" outlineLevel="0" collapsed="false">
      <c r="A728" s="10" t="s">
        <v>2737</v>
      </c>
      <c r="B728" s="10" t="s">
        <v>1103</v>
      </c>
      <c r="C728" s="10" t="s">
        <v>2738</v>
      </c>
      <c r="D728" s="10" t="s">
        <v>1136</v>
      </c>
      <c r="E728" s="10" t="s">
        <v>453</v>
      </c>
      <c r="F728" s="16" t="n">
        <f aca="false">Growth_Decomposition!AO21</f>
        <v>0.24</v>
      </c>
      <c r="G728" s="12" t="n">
        <v>0.24</v>
      </c>
      <c r="H728" s="26" t="n">
        <f aca="false">F728-G728</f>
        <v>0</v>
      </c>
      <c r="I728" s="10" t="str">
        <f aca="false">IF(ABS(H728)&lt;=0.000001,"PASS","FAIL")</f>
        <v>PASS</v>
      </c>
      <c r="J728" s="10" t="s">
        <v>2739</v>
      </c>
    </row>
    <row r="729" customFormat="false" ht="15" hidden="false" customHeight="false" outlineLevel="0" collapsed="false">
      <c r="A729" s="10" t="s">
        <v>2740</v>
      </c>
      <c r="B729" s="10" t="s">
        <v>1103</v>
      </c>
      <c r="C729" s="10" t="s">
        <v>2741</v>
      </c>
      <c r="D729" s="10" t="s">
        <v>1136</v>
      </c>
      <c r="E729" s="10" t="s">
        <v>454</v>
      </c>
      <c r="F729" s="16" t="n">
        <f aca="false">Growth_Decomposition!AR21</f>
        <v>0.04</v>
      </c>
      <c r="G729" s="12" t="n">
        <v>0.04</v>
      </c>
      <c r="H729" s="26" t="n">
        <f aca="false">F729-G729</f>
        <v>0</v>
      </c>
      <c r="I729" s="10" t="str">
        <f aca="false">IF(ABS(H729)&lt;=0.000001,"PASS","FAIL")</f>
        <v>PASS</v>
      </c>
      <c r="J729" s="10" t="s">
        <v>2742</v>
      </c>
    </row>
    <row r="730" customFormat="false" ht="15" hidden="false" customHeight="false" outlineLevel="0" collapsed="false">
      <c r="A730" s="10" t="s">
        <v>2743</v>
      </c>
      <c r="B730" s="10" t="s">
        <v>1102</v>
      </c>
      <c r="C730" s="10" t="s">
        <v>2744</v>
      </c>
      <c r="D730" s="10" t="s">
        <v>1136</v>
      </c>
      <c r="E730" s="10" t="s">
        <v>123</v>
      </c>
      <c r="F730" s="22" t="n">
        <f aca="false">Growth_Decomposition!B22</f>
        <v>282250</v>
      </c>
      <c r="G730" s="12" t="n">
        <v>282250</v>
      </c>
      <c r="H730" s="10" t="n">
        <f aca="false">F730-G730</f>
        <v>0</v>
      </c>
      <c r="I730" s="10" t="str">
        <f aca="false">IF(ABS(H730)&lt;=0.000001,"PASS","FAIL")</f>
        <v>PASS</v>
      </c>
      <c r="J730" s="10" t="s">
        <v>2745</v>
      </c>
    </row>
    <row r="731" customFormat="false" ht="15" hidden="false" customHeight="false" outlineLevel="0" collapsed="false">
      <c r="A731" s="10" t="s">
        <v>2746</v>
      </c>
      <c r="B731" s="10" t="s">
        <v>1103</v>
      </c>
      <c r="C731" s="10" t="s">
        <v>2747</v>
      </c>
      <c r="D731" s="10" t="s">
        <v>1136</v>
      </c>
      <c r="E731" s="10" t="s">
        <v>455</v>
      </c>
      <c r="F731" s="16" t="n">
        <f aca="false">Growth_Decomposition!G22</f>
        <v>1.12</v>
      </c>
      <c r="G731" s="12" t="n">
        <v>1.12</v>
      </c>
      <c r="H731" s="26" t="n">
        <f aca="false">F731-G731</f>
        <v>0</v>
      </c>
      <c r="I731" s="10" t="str">
        <f aca="false">IF(ABS(H731)&lt;=0.000001,"PASS","FAIL")</f>
        <v>PASS</v>
      </c>
      <c r="J731" s="10" t="s">
        <v>2748</v>
      </c>
    </row>
    <row r="732" customFormat="false" ht="15" hidden="false" customHeight="false" outlineLevel="0" collapsed="false">
      <c r="A732" s="10" t="s">
        <v>2749</v>
      </c>
      <c r="B732" s="10" t="s">
        <v>1103</v>
      </c>
      <c r="C732" s="10" t="s">
        <v>2750</v>
      </c>
      <c r="D732" s="10" t="s">
        <v>1136</v>
      </c>
      <c r="E732" s="10" t="s">
        <v>456</v>
      </c>
      <c r="F732" s="16" t="n">
        <f aca="false">Growth_Decomposition!J22</f>
        <v>1.15</v>
      </c>
      <c r="G732" s="12" t="n">
        <v>1.15</v>
      </c>
      <c r="H732" s="26" t="n">
        <f aca="false">F732-G732</f>
        <v>0</v>
      </c>
      <c r="I732" s="10" t="str">
        <f aca="false">IF(ABS(H732)&lt;=0.000001,"PASS","FAIL")</f>
        <v>PASS</v>
      </c>
      <c r="J732" s="10" t="s">
        <v>2751</v>
      </c>
    </row>
    <row r="733" customFormat="false" ht="15" hidden="false" customHeight="false" outlineLevel="0" collapsed="false">
      <c r="A733" s="10" t="s">
        <v>2752</v>
      </c>
      <c r="B733" s="10" t="s">
        <v>1103</v>
      </c>
      <c r="C733" s="10" t="s">
        <v>2753</v>
      </c>
      <c r="D733" s="10" t="s">
        <v>1136</v>
      </c>
      <c r="E733" s="10" t="s">
        <v>457</v>
      </c>
      <c r="F733" s="16" t="n">
        <f aca="false">Growth_Decomposition!M22</f>
        <v>1.16</v>
      </c>
      <c r="G733" s="12" t="n">
        <v>1.16</v>
      </c>
      <c r="H733" s="26" t="n">
        <f aca="false">F733-G733</f>
        <v>0</v>
      </c>
      <c r="I733" s="10" t="str">
        <f aca="false">IF(ABS(H733)&lt;=0.000001,"PASS","FAIL")</f>
        <v>PASS</v>
      </c>
      <c r="J733" s="10" t="s">
        <v>2754</v>
      </c>
    </row>
    <row r="734" customFormat="false" ht="15" hidden="false" customHeight="false" outlineLevel="0" collapsed="false">
      <c r="A734" s="10" t="s">
        <v>2755</v>
      </c>
      <c r="B734" s="10" t="s">
        <v>1103</v>
      </c>
      <c r="C734" s="10" t="s">
        <v>2756</v>
      </c>
      <c r="D734" s="10" t="s">
        <v>1136</v>
      </c>
      <c r="E734" s="10" t="s">
        <v>458</v>
      </c>
      <c r="F734" s="16" t="n">
        <f aca="false">Growth_Decomposition!P22</f>
        <v>1.17</v>
      </c>
      <c r="G734" s="12" t="n">
        <v>1.17</v>
      </c>
      <c r="H734" s="26" t="n">
        <f aca="false">F734-G734</f>
        <v>0</v>
      </c>
      <c r="I734" s="10" t="str">
        <f aca="false">IF(ABS(H734)&lt;=0.000001,"PASS","FAIL")</f>
        <v>PASS</v>
      </c>
      <c r="J734" s="10" t="s">
        <v>2757</v>
      </c>
    </row>
    <row r="735" customFormat="false" ht="15" hidden="false" customHeight="false" outlineLevel="0" collapsed="false">
      <c r="A735" s="10" t="s">
        <v>2758</v>
      </c>
      <c r="B735" s="10" t="s">
        <v>1103</v>
      </c>
      <c r="C735" s="10" t="s">
        <v>2759</v>
      </c>
      <c r="D735" s="10" t="s">
        <v>1136</v>
      </c>
      <c r="E735" s="10" t="s">
        <v>459</v>
      </c>
      <c r="F735" s="27" t="n">
        <f aca="false">Growth_Decomposition!S22</f>
        <v>60566</v>
      </c>
      <c r="G735" s="12" t="n">
        <v>60566</v>
      </c>
      <c r="H735" s="10" t="n">
        <f aca="false">F735-G735</f>
        <v>0</v>
      </c>
      <c r="I735" s="10" t="str">
        <f aca="false">IF(ABS(H735)&lt;=0.000001,"PASS","FAIL")</f>
        <v>PASS</v>
      </c>
      <c r="J735" s="10" t="s">
        <v>2760</v>
      </c>
    </row>
    <row r="736" customFormat="false" ht="15" hidden="false" customHeight="false" outlineLevel="0" collapsed="false">
      <c r="A736" s="10" t="s">
        <v>2761</v>
      </c>
      <c r="B736" s="10" t="s">
        <v>1103</v>
      </c>
      <c r="C736" s="10" t="s">
        <v>2762</v>
      </c>
      <c r="D736" s="10" t="s">
        <v>1136</v>
      </c>
      <c r="E736" s="10" t="s">
        <v>460</v>
      </c>
      <c r="F736" s="27" t="n">
        <f aca="false">Growth_Decomposition!W22</f>
        <v>3444</v>
      </c>
      <c r="G736" s="12" t="n">
        <v>3444</v>
      </c>
      <c r="H736" s="10" t="n">
        <f aca="false">F736-G736</f>
        <v>0</v>
      </c>
      <c r="I736" s="10" t="str">
        <f aca="false">IF(ABS(H736)&lt;=0.000001,"PASS","FAIL")</f>
        <v>PASS</v>
      </c>
      <c r="J736" s="10" t="s">
        <v>2763</v>
      </c>
    </row>
    <row r="737" customFormat="false" ht="15" hidden="false" customHeight="false" outlineLevel="0" collapsed="false">
      <c r="A737" s="10" t="s">
        <v>2764</v>
      </c>
      <c r="B737" s="10" t="s">
        <v>1103</v>
      </c>
      <c r="C737" s="10" t="s">
        <v>2765</v>
      </c>
      <c r="D737" s="10" t="s">
        <v>1136</v>
      </c>
      <c r="E737" s="10" t="s">
        <v>461</v>
      </c>
      <c r="F737" s="27" t="n">
        <f aca="false">Growth_Decomposition!AA22</f>
        <v>1328</v>
      </c>
      <c r="G737" s="12" t="n">
        <v>1328</v>
      </c>
      <c r="H737" s="10" t="n">
        <f aca="false">F737-G737</f>
        <v>0</v>
      </c>
      <c r="I737" s="10" t="str">
        <f aca="false">IF(ABS(H737)&lt;=0.000001,"PASS","FAIL")</f>
        <v>PASS</v>
      </c>
      <c r="J737" s="10" t="s">
        <v>2766</v>
      </c>
    </row>
    <row r="738" customFormat="false" ht="15" hidden="false" customHeight="false" outlineLevel="0" collapsed="false">
      <c r="A738" s="10" t="s">
        <v>2767</v>
      </c>
      <c r="B738" s="10" t="s">
        <v>1103</v>
      </c>
      <c r="C738" s="10" t="s">
        <v>2768</v>
      </c>
      <c r="D738" s="10" t="s">
        <v>1136</v>
      </c>
      <c r="E738" s="10" t="s">
        <v>462</v>
      </c>
      <c r="F738" s="27" t="n">
        <f aca="false">Growth_Decomposition!AE22</f>
        <v>57</v>
      </c>
      <c r="G738" s="12" t="n">
        <v>57</v>
      </c>
      <c r="H738" s="10" t="n">
        <f aca="false">F738-G738</f>
        <v>0</v>
      </c>
      <c r="I738" s="10" t="str">
        <f aca="false">IF(ABS(H738)&lt;=0.000001,"PASS","FAIL")</f>
        <v>PASS</v>
      </c>
      <c r="J738" s="10" t="s">
        <v>2769</v>
      </c>
    </row>
    <row r="739" customFormat="false" ht="15" hidden="false" customHeight="false" outlineLevel="0" collapsed="false">
      <c r="A739" s="10" t="s">
        <v>2770</v>
      </c>
      <c r="B739" s="10" t="s">
        <v>1103</v>
      </c>
      <c r="C739" s="10" t="s">
        <v>2771</v>
      </c>
      <c r="D739" s="10" t="s">
        <v>1136</v>
      </c>
      <c r="E739" s="10" t="s">
        <v>463</v>
      </c>
      <c r="F739" s="16" t="n">
        <f aca="false">Growth_Decomposition!AI22</f>
        <v>0.8</v>
      </c>
      <c r="G739" s="12" t="n">
        <v>0.8</v>
      </c>
      <c r="H739" s="26" t="n">
        <f aca="false">F739-G739</f>
        <v>0</v>
      </c>
      <c r="I739" s="10" t="str">
        <f aca="false">IF(ABS(H739)&lt;=0.000001,"PASS","FAIL")</f>
        <v>PASS</v>
      </c>
      <c r="J739" s="10" t="s">
        <v>2772</v>
      </c>
    </row>
    <row r="740" customFormat="false" ht="15" hidden="false" customHeight="false" outlineLevel="0" collapsed="false">
      <c r="A740" s="10" t="s">
        <v>2773</v>
      </c>
      <c r="B740" s="10" t="s">
        <v>1103</v>
      </c>
      <c r="C740" s="10" t="s">
        <v>2774</v>
      </c>
      <c r="D740" s="10" t="s">
        <v>1136</v>
      </c>
      <c r="E740" s="10" t="s">
        <v>464</v>
      </c>
      <c r="F740" s="16" t="n">
        <f aca="false">Growth_Decomposition!AL22</f>
        <v>0.37</v>
      </c>
      <c r="G740" s="12" t="n">
        <v>0.37</v>
      </c>
      <c r="H740" s="26" t="n">
        <f aca="false">F740-G740</f>
        <v>0</v>
      </c>
      <c r="I740" s="10" t="str">
        <f aca="false">IF(ABS(H740)&lt;=0.000001,"PASS","FAIL")</f>
        <v>PASS</v>
      </c>
      <c r="J740" s="10" t="s">
        <v>2775</v>
      </c>
    </row>
    <row r="741" customFormat="false" ht="15" hidden="false" customHeight="false" outlineLevel="0" collapsed="false">
      <c r="A741" s="10" t="s">
        <v>2776</v>
      </c>
      <c r="B741" s="10" t="s">
        <v>1103</v>
      </c>
      <c r="C741" s="10" t="s">
        <v>2777</v>
      </c>
      <c r="D741" s="10" t="s">
        <v>1136</v>
      </c>
      <c r="E741" s="10" t="s">
        <v>465</v>
      </c>
      <c r="F741" s="16" t="n">
        <f aca="false">Growth_Decomposition!AO22</f>
        <v>0.24</v>
      </c>
      <c r="G741" s="12" t="n">
        <v>0.24</v>
      </c>
      <c r="H741" s="26" t="n">
        <f aca="false">F741-G741</f>
        <v>0</v>
      </c>
      <c r="I741" s="10" t="str">
        <f aca="false">IF(ABS(H741)&lt;=0.000001,"PASS","FAIL")</f>
        <v>PASS</v>
      </c>
      <c r="J741" s="10" t="s">
        <v>2778</v>
      </c>
    </row>
    <row r="742" customFormat="false" ht="15" hidden="false" customHeight="false" outlineLevel="0" collapsed="false">
      <c r="A742" s="10" t="s">
        <v>2779</v>
      </c>
      <c r="B742" s="10" t="s">
        <v>1103</v>
      </c>
      <c r="C742" s="10" t="s">
        <v>2780</v>
      </c>
      <c r="D742" s="10" t="s">
        <v>1136</v>
      </c>
      <c r="E742" s="10" t="s">
        <v>466</v>
      </c>
      <c r="F742" s="16" t="n">
        <f aca="false">Growth_Decomposition!AR22</f>
        <v>0.05</v>
      </c>
      <c r="G742" s="12" t="n">
        <v>0.05</v>
      </c>
      <c r="H742" s="26" t="n">
        <f aca="false">F742-G742</f>
        <v>0</v>
      </c>
      <c r="I742" s="10" t="str">
        <f aca="false">IF(ABS(H742)&lt;=0.000001,"PASS","FAIL")</f>
        <v>PASS</v>
      </c>
      <c r="J742" s="10" t="s">
        <v>2781</v>
      </c>
    </row>
    <row r="743" customFormat="false" ht="15" hidden="false" customHeight="false" outlineLevel="0" collapsed="false">
      <c r="A743" s="10" t="s">
        <v>2782</v>
      </c>
      <c r="B743" s="10" t="s">
        <v>1102</v>
      </c>
      <c r="C743" s="10" t="s">
        <v>2783</v>
      </c>
      <c r="D743" s="10" t="s">
        <v>1136</v>
      </c>
      <c r="E743" s="10" t="s">
        <v>127</v>
      </c>
      <c r="F743" s="22" t="n">
        <f aca="false">Growth_Decomposition!B23</f>
        <v>299014</v>
      </c>
      <c r="G743" s="12" t="n">
        <v>299014</v>
      </c>
      <c r="H743" s="10" t="n">
        <f aca="false">F743-G743</f>
        <v>0</v>
      </c>
      <c r="I743" s="10" t="str">
        <f aca="false">IF(ABS(H743)&lt;=0.000001,"PASS","FAIL")</f>
        <v>PASS</v>
      </c>
      <c r="J743" s="10" t="s">
        <v>2784</v>
      </c>
    </row>
    <row r="744" customFormat="false" ht="15" hidden="false" customHeight="false" outlineLevel="0" collapsed="false">
      <c r="A744" s="10" t="s">
        <v>2785</v>
      </c>
      <c r="B744" s="10" t="s">
        <v>1103</v>
      </c>
      <c r="C744" s="10" t="s">
        <v>2786</v>
      </c>
      <c r="D744" s="10" t="s">
        <v>1136</v>
      </c>
      <c r="E744" s="10" t="s">
        <v>467</v>
      </c>
      <c r="F744" s="16" t="n">
        <f aca="false">Growth_Decomposition!G23</f>
        <v>1.11</v>
      </c>
      <c r="G744" s="12" t="n">
        <v>1.11</v>
      </c>
      <c r="H744" s="26" t="n">
        <f aca="false">F744-G744</f>
        <v>0</v>
      </c>
      <c r="I744" s="10" t="str">
        <f aca="false">IF(ABS(H744)&lt;=0.000001,"PASS","FAIL")</f>
        <v>PASS</v>
      </c>
      <c r="J744" s="10" t="s">
        <v>2787</v>
      </c>
    </row>
    <row r="745" customFormat="false" ht="15" hidden="false" customHeight="false" outlineLevel="0" collapsed="false">
      <c r="A745" s="10" t="s">
        <v>2788</v>
      </c>
      <c r="B745" s="10" t="s">
        <v>1103</v>
      </c>
      <c r="C745" s="10" t="s">
        <v>2789</v>
      </c>
      <c r="D745" s="10" t="s">
        <v>1136</v>
      </c>
      <c r="E745" s="10" t="s">
        <v>468</v>
      </c>
      <c r="F745" s="16" t="n">
        <f aca="false">Growth_Decomposition!J23</f>
        <v>1.15</v>
      </c>
      <c r="G745" s="12" t="n">
        <v>1.15</v>
      </c>
      <c r="H745" s="26" t="n">
        <f aca="false">F745-G745</f>
        <v>0</v>
      </c>
      <c r="I745" s="10" t="str">
        <f aca="false">IF(ABS(H745)&lt;=0.000001,"PASS","FAIL")</f>
        <v>PASS</v>
      </c>
      <c r="J745" s="10" t="s">
        <v>2790</v>
      </c>
    </row>
    <row r="746" customFormat="false" ht="15" hidden="false" customHeight="false" outlineLevel="0" collapsed="false">
      <c r="A746" s="10" t="s">
        <v>2791</v>
      </c>
      <c r="B746" s="10" t="s">
        <v>1103</v>
      </c>
      <c r="C746" s="10" t="s">
        <v>2792</v>
      </c>
      <c r="D746" s="10" t="s">
        <v>1136</v>
      </c>
      <c r="E746" s="10" t="s">
        <v>469</v>
      </c>
      <c r="F746" s="16" t="n">
        <f aca="false">Growth_Decomposition!M23</f>
        <v>1.16</v>
      </c>
      <c r="G746" s="12" t="n">
        <v>1.16</v>
      </c>
      <c r="H746" s="26" t="n">
        <f aca="false">F746-G746</f>
        <v>0</v>
      </c>
      <c r="I746" s="10" t="str">
        <f aca="false">IF(ABS(H746)&lt;=0.000001,"PASS","FAIL")</f>
        <v>PASS</v>
      </c>
      <c r="J746" s="10" t="s">
        <v>2793</v>
      </c>
    </row>
    <row r="747" customFormat="false" ht="15" hidden="false" customHeight="false" outlineLevel="0" collapsed="false">
      <c r="A747" s="10" t="s">
        <v>2794</v>
      </c>
      <c r="B747" s="10" t="s">
        <v>1103</v>
      </c>
      <c r="C747" s="10" t="s">
        <v>2795</v>
      </c>
      <c r="D747" s="10" t="s">
        <v>1136</v>
      </c>
      <c r="E747" s="10" t="s">
        <v>470</v>
      </c>
      <c r="F747" s="16" t="n">
        <f aca="false">Growth_Decomposition!P23</f>
        <v>1.17</v>
      </c>
      <c r="G747" s="12" t="n">
        <v>1.17</v>
      </c>
      <c r="H747" s="26" t="n">
        <f aca="false">F747-G747</f>
        <v>0</v>
      </c>
      <c r="I747" s="10" t="str">
        <f aca="false">IF(ABS(H747)&lt;=0.000001,"PASS","FAIL")</f>
        <v>PASS</v>
      </c>
      <c r="J747" s="10" t="s">
        <v>2796</v>
      </c>
    </row>
    <row r="748" customFormat="false" ht="15" hidden="false" customHeight="false" outlineLevel="0" collapsed="false">
      <c r="A748" s="10" t="s">
        <v>2797</v>
      </c>
      <c r="B748" s="10" t="s">
        <v>1103</v>
      </c>
      <c r="C748" s="10" t="s">
        <v>2798</v>
      </c>
      <c r="D748" s="10" t="s">
        <v>1136</v>
      </c>
      <c r="E748" s="10" t="s">
        <v>471</v>
      </c>
      <c r="F748" s="27" t="n">
        <f aca="false">Growth_Decomposition!S23</f>
        <v>61803</v>
      </c>
      <c r="G748" s="12" t="n">
        <v>61803</v>
      </c>
      <c r="H748" s="10" t="n">
        <f aca="false">F748-G748</f>
        <v>0</v>
      </c>
      <c r="I748" s="10" t="str">
        <f aca="false">IF(ABS(H748)&lt;=0.000001,"PASS","FAIL")</f>
        <v>PASS</v>
      </c>
      <c r="J748" s="10" t="s">
        <v>2799</v>
      </c>
    </row>
    <row r="749" customFormat="false" ht="15" hidden="false" customHeight="false" outlineLevel="0" collapsed="false">
      <c r="A749" s="10" t="s">
        <v>2800</v>
      </c>
      <c r="B749" s="10" t="s">
        <v>1103</v>
      </c>
      <c r="C749" s="10" t="s">
        <v>2801</v>
      </c>
      <c r="D749" s="10" t="s">
        <v>1136</v>
      </c>
      <c r="E749" s="10" t="s">
        <v>472</v>
      </c>
      <c r="F749" s="27" t="n">
        <f aca="false">Growth_Decomposition!W23</f>
        <v>3702</v>
      </c>
      <c r="G749" s="12" t="n">
        <v>3702</v>
      </c>
      <c r="H749" s="10" t="n">
        <f aca="false">F749-G749</f>
        <v>0</v>
      </c>
      <c r="I749" s="10" t="str">
        <f aca="false">IF(ABS(H749)&lt;=0.000001,"PASS","FAIL")</f>
        <v>PASS</v>
      </c>
      <c r="J749" s="10" t="s">
        <v>2802</v>
      </c>
    </row>
    <row r="750" customFormat="false" ht="15" hidden="false" customHeight="false" outlineLevel="0" collapsed="false">
      <c r="A750" s="10" t="s">
        <v>2803</v>
      </c>
      <c r="B750" s="10" t="s">
        <v>1103</v>
      </c>
      <c r="C750" s="10" t="s">
        <v>2804</v>
      </c>
      <c r="D750" s="10" t="s">
        <v>1136</v>
      </c>
      <c r="E750" s="10" t="s">
        <v>473</v>
      </c>
      <c r="F750" s="27" t="n">
        <f aca="false">Growth_Decomposition!AA23</f>
        <v>1472</v>
      </c>
      <c r="G750" s="12" t="n">
        <v>1472</v>
      </c>
      <c r="H750" s="10" t="n">
        <f aca="false">F750-G750</f>
        <v>0</v>
      </c>
      <c r="I750" s="10" t="str">
        <f aca="false">IF(ABS(H750)&lt;=0.000001,"PASS","FAIL")</f>
        <v>PASS</v>
      </c>
      <c r="J750" s="10" t="s">
        <v>2805</v>
      </c>
    </row>
    <row r="751" customFormat="false" ht="15" hidden="false" customHeight="false" outlineLevel="0" collapsed="false">
      <c r="A751" s="10" t="s">
        <v>2806</v>
      </c>
      <c r="B751" s="10" t="s">
        <v>1103</v>
      </c>
      <c r="C751" s="10" t="s">
        <v>2807</v>
      </c>
      <c r="D751" s="10" t="s">
        <v>1136</v>
      </c>
      <c r="E751" s="10" t="s">
        <v>474</v>
      </c>
      <c r="F751" s="27" t="n">
        <f aca="false">Growth_Decomposition!AE23</f>
        <v>68</v>
      </c>
      <c r="G751" s="12" t="n">
        <v>68</v>
      </c>
      <c r="H751" s="10" t="n">
        <f aca="false">F751-G751</f>
        <v>0</v>
      </c>
      <c r="I751" s="10" t="str">
        <f aca="false">IF(ABS(H751)&lt;=0.000001,"PASS","FAIL")</f>
        <v>PASS</v>
      </c>
      <c r="J751" s="10" t="s">
        <v>2808</v>
      </c>
    </row>
    <row r="752" customFormat="false" ht="15" hidden="false" customHeight="false" outlineLevel="0" collapsed="false">
      <c r="A752" s="10" t="s">
        <v>2809</v>
      </c>
      <c r="B752" s="10" t="s">
        <v>1103</v>
      </c>
      <c r="C752" s="10" t="s">
        <v>2810</v>
      </c>
      <c r="D752" s="10" t="s">
        <v>1136</v>
      </c>
      <c r="E752" s="10" t="s">
        <v>475</v>
      </c>
      <c r="F752" s="16" t="n">
        <f aca="false">Growth_Decomposition!AI23</f>
        <v>0.8</v>
      </c>
      <c r="G752" s="12" t="n">
        <v>0.8</v>
      </c>
      <c r="H752" s="26" t="n">
        <f aca="false">F752-G752</f>
        <v>0</v>
      </c>
      <c r="I752" s="10" t="str">
        <f aca="false">IF(ABS(H752)&lt;=0.000001,"PASS","FAIL")</f>
        <v>PASS</v>
      </c>
      <c r="J752" s="10" t="s">
        <v>2811</v>
      </c>
    </row>
    <row r="753" customFormat="false" ht="15" hidden="false" customHeight="false" outlineLevel="0" collapsed="false">
      <c r="A753" s="10" t="s">
        <v>2812</v>
      </c>
      <c r="B753" s="10" t="s">
        <v>1103</v>
      </c>
      <c r="C753" s="10" t="s">
        <v>2813</v>
      </c>
      <c r="D753" s="10" t="s">
        <v>1136</v>
      </c>
      <c r="E753" s="10" t="s">
        <v>476</v>
      </c>
      <c r="F753" s="16" t="n">
        <f aca="false">Growth_Decomposition!AL23</f>
        <v>0.38</v>
      </c>
      <c r="G753" s="12" t="n">
        <v>0.38</v>
      </c>
      <c r="H753" s="26" t="n">
        <f aca="false">F753-G753</f>
        <v>0</v>
      </c>
      <c r="I753" s="10" t="str">
        <f aca="false">IF(ABS(H753)&lt;=0.000001,"PASS","FAIL")</f>
        <v>PASS</v>
      </c>
      <c r="J753" s="10" t="s">
        <v>2814</v>
      </c>
    </row>
    <row r="754" customFormat="false" ht="15" hidden="false" customHeight="false" outlineLevel="0" collapsed="false">
      <c r="A754" s="10" t="s">
        <v>2815</v>
      </c>
      <c r="B754" s="10" t="s">
        <v>1103</v>
      </c>
      <c r="C754" s="10" t="s">
        <v>2816</v>
      </c>
      <c r="D754" s="10" t="s">
        <v>1136</v>
      </c>
      <c r="E754" s="10" t="s">
        <v>477</v>
      </c>
      <c r="F754" s="16" t="n">
        <f aca="false">Growth_Decomposition!AO23</f>
        <v>0.26</v>
      </c>
      <c r="G754" s="12" t="n">
        <v>0.26</v>
      </c>
      <c r="H754" s="26" t="n">
        <f aca="false">F754-G754</f>
        <v>0</v>
      </c>
      <c r="I754" s="10" t="str">
        <f aca="false">IF(ABS(H754)&lt;=0.000001,"PASS","FAIL")</f>
        <v>PASS</v>
      </c>
      <c r="J754" s="10" t="s">
        <v>2817</v>
      </c>
    </row>
    <row r="755" customFormat="false" ht="15" hidden="false" customHeight="false" outlineLevel="0" collapsed="false">
      <c r="A755" s="10" t="s">
        <v>2818</v>
      </c>
      <c r="B755" s="10" t="s">
        <v>1103</v>
      </c>
      <c r="C755" s="10" t="s">
        <v>2819</v>
      </c>
      <c r="D755" s="10" t="s">
        <v>1136</v>
      </c>
      <c r="E755" s="10" t="s">
        <v>478</v>
      </c>
      <c r="F755" s="16" t="n">
        <f aca="false">Growth_Decomposition!AR23</f>
        <v>0.05</v>
      </c>
      <c r="G755" s="12" t="n">
        <v>0.05</v>
      </c>
      <c r="H755" s="26" t="n">
        <f aca="false">F755-G755</f>
        <v>0</v>
      </c>
      <c r="I755" s="10" t="str">
        <f aca="false">IF(ABS(H755)&lt;=0.000001,"PASS","FAIL")</f>
        <v>PASS</v>
      </c>
      <c r="J755" s="10" t="s">
        <v>2820</v>
      </c>
    </row>
    <row r="756" customFormat="false" ht="15" hidden="false" customHeight="false" outlineLevel="0" collapsed="false">
      <c r="A756" s="10" t="s">
        <v>2821</v>
      </c>
      <c r="B756" s="10" t="s">
        <v>1102</v>
      </c>
      <c r="C756" s="10" t="s">
        <v>2822</v>
      </c>
      <c r="D756" s="10" t="s">
        <v>1136</v>
      </c>
      <c r="E756" s="10" t="s">
        <v>131</v>
      </c>
      <c r="F756" s="22" t="n">
        <f aca="false">Growth_Decomposition!B24</f>
        <v>316855</v>
      </c>
      <c r="G756" s="12" t="n">
        <v>316855</v>
      </c>
      <c r="H756" s="10" t="n">
        <f aca="false">F756-G756</f>
        <v>0</v>
      </c>
      <c r="I756" s="10" t="str">
        <f aca="false">IF(ABS(H756)&lt;=0.000001,"PASS","FAIL")</f>
        <v>PASS</v>
      </c>
      <c r="J756" s="10" t="s">
        <v>2823</v>
      </c>
    </row>
    <row r="757" customFormat="false" ht="15" hidden="false" customHeight="false" outlineLevel="0" collapsed="false">
      <c r="A757" s="10" t="s">
        <v>2824</v>
      </c>
      <c r="B757" s="10" t="s">
        <v>1103</v>
      </c>
      <c r="C757" s="10" t="s">
        <v>2825</v>
      </c>
      <c r="D757" s="10" t="s">
        <v>1136</v>
      </c>
      <c r="E757" s="10" t="s">
        <v>479</v>
      </c>
      <c r="F757" s="16" t="n">
        <f aca="false">Growth_Decomposition!G24</f>
        <v>1.11</v>
      </c>
      <c r="G757" s="12" t="n">
        <v>1.11</v>
      </c>
      <c r="H757" s="26" t="n">
        <f aca="false">F757-G757</f>
        <v>0</v>
      </c>
      <c r="I757" s="10" t="str">
        <f aca="false">IF(ABS(H757)&lt;=0.000001,"PASS","FAIL")</f>
        <v>PASS</v>
      </c>
      <c r="J757" s="10" t="s">
        <v>2826</v>
      </c>
    </row>
    <row r="758" customFormat="false" ht="15" hidden="false" customHeight="false" outlineLevel="0" collapsed="false">
      <c r="A758" s="10" t="s">
        <v>2827</v>
      </c>
      <c r="B758" s="10" t="s">
        <v>1103</v>
      </c>
      <c r="C758" s="10" t="s">
        <v>2828</v>
      </c>
      <c r="D758" s="10" t="s">
        <v>1136</v>
      </c>
      <c r="E758" s="10" t="s">
        <v>480</v>
      </c>
      <c r="F758" s="16" t="n">
        <f aca="false">Growth_Decomposition!J24</f>
        <v>1.15</v>
      </c>
      <c r="G758" s="12" t="n">
        <v>1.15</v>
      </c>
      <c r="H758" s="26" t="n">
        <f aca="false">F758-G758</f>
        <v>0</v>
      </c>
      <c r="I758" s="10" t="str">
        <f aca="false">IF(ABS(H758)&lt;=0.000001,"PASS","FAIL")</f>
        <v>PASS</v>
      </c>
      <c r="J758" s="10" t="s">
        <v>2829</v>
      </c>
    </row>
    <row r="759" customFormat="false" ht="15" hidden="false" customHeight="false" outlineLevel="0" collapsed="false">
      <c r="A759" s="10" t="s">
        <v>2830</v>
      </c>
      <c r="B759" s="10" t="s">
        <v>1103</v>
      </c>
      <c r="C759" s="10" t="s">
        <v>2831</v>
      </c>
      <c r="D759" s="10" t="s">
        <v>1136</v>
      </c>
      <c r="E759" s="10" t="s">
        <v>481</v>
      </c>
      <c r="F759" s="16" t="n">
        <f aca="false">Growth_Decomposition!M24</f>
        <v>1.17</v>
      </c>
      <c r="G759" s="12" t="n">
        <v>1.17</v>
      </c>
      <c r="H759" s="26" t="n">
        <f aca="false">F759-G759</f>
        <v>0</v>
      </c>
      <c r="I759" s="10" t="str">
        <f aca="false">IF(ABS(H759)&lt;=0.000001,"PASS","FAIL")</f>
        <v>PASS</v>
      </c>
      <c r="J759" s="10" t="s">
        <v>2832</v>
      </c>
    </row>
    <row r="760" customFormat="false" ht="15" hidden="false" customHeight="false" outlineLevel="0" collapsed="false">
      <c r="A760" s="10" t="s">
        <v>2833</v>
      </c>
      <c r="B760" s="10" t="s">
        <v>1103</v>
      </c>
      <c r="C760" s="10" t="s">
        <v>2834</v>
      </c>
      <c r="D760" s="10" t="s">
        <v>1136</v>
      </c>
      <c r="E760" s="10" t="s">
        <v>482</v>
      </c>
      <c r="F760" s="16" t="n">
        <f aca="false">Growth_Decomposition!P24</f>
        <v>1.17</v>
      </c>
      <c r="G760" s="12" t="n">
        <v>1.17</v>
      </c>
      <c r="H760" s="26" t="n">
        <f aca="false">F760-G760</f>
        <v>0</v>
      </c>
      <c r="I760" s="10" t="str">
        <f aca="false">IF(ABS(H760)&lt;=0.000001,"PASS","FAIL")</f>
        <v>PASS</v>
      </c>
      <c r="J760" s="10" t="s">
        <v>2835</v>
      </c>
    </row>
    <row r="761" customFormat="false" ht="15" hidden="false" customHeight="false" outlineLevel="0" collapsed="false">
      <c r="A761" s="10" t="s">
        <v>2836</v>
      </c>
      <c r="B761" s="10" t="s">
        <v>1103</v>
      </c>
      <c r="C761" s="10" t="s">
        <v>2837</v>
      </c>
      <c r="D761" s="10" t="s">
        <v>1136</v>
      </c>
      <c r="E761" s="10" t="s">
        <v>483</v>
      </c>
      <c r="F761" s="27" t="n">
        <f aca="false">Growth_Decomposition!S24</f>
        <v>63075</v>
      </c>
      <c r="G761" s="12" t="n">
        <v>63075</v>
      </c>
      <c r="H761" s="10" t="n">
        <f aca="false">F761-G761</f>
        <v>0</v>
      </c>
      <c r="I761" s="10" t="str">
        <f aca="false">IF(ABS(H761)&lt;=0.000001,"PASS","FAIL")</f>
        <v>PASS</v>
      </c>
      <c r="J761" s="10" t="s">
        <v>2838</v>
      </c>
    </row>
    <row r="762" customFormat="false" ht="15" hidden="false" customHeight="false" outlineLevel="0" collapsed="false">
      <c r="A762" s="10" t="s">
        <v>2839</v>
      </c>
      <c r="B762" s="10" t="s">
        <v>1103</v>
      </c>
      <c r="C762" s="10" t="s">
        <v>2840</v>
      </c>
      <c r="D762" s="10" t="s">
        <v>1136</v>
      </c>
      <c r="E762" s="10" t="s">
        <v>484</v>
      </c>
      <c r="F762" s="27" t="n">
        <f aca="false">Growth_Decomposition!W24</f>
        <v>3993</v>
      </c>
      <c r="G762" s="12" t="n">
        <v>3993</v>
      </c>
      <c r="H762" s="10" t="n">
        <f aca="false">F762-G762</f>
        <v>0</v>
      </c>
      <c r="I762" s="10" t="str">
        <f aca="false">IF(ABS(H762)&lt;=0.000001,"PASS","FAIL")</f>
        <v>PASS</v>
      </c>
      <c r="J762" s="10" t="s">
        <v>2841</v>
      </c>
    </row>
    <row r="763" customFormat="false" ht="15" hidden="false" customHeight="false" outlineLevel="0" collapsed="false">
      <c r="A763" s="10" t="s">
        <v>2842</v>
      </c>
      <c r="B763" s="10" t="s">
        <v>1103</v>
      </c>
      <c r="C763" s="10" t="s">
        <v>2843</v>
      </c>
      <c r="D763" s="10" t="s">
        <v>1136</v>
      </c>
      <c r="E763" s="10" t="s">
        <v>485</v>
      </c>
      <c r="F763" s="27" t="n">
        <f aca="false">Growth_Decomposition!AA24</f>
        <v>1603</v>
      </c>
      <c r="G763" s="12" t="n">
        <v>1603</v>
      </c>
      <c r="H763" s="10" t="n">
        <f aca="false">F763-G763</f>
        <v>0</v>
      </c>
      <c r="I763" s="10" t="str">
        <f aca="false">IF(ABS(H763)&lt;=0.000001,"PASS","FAIL")</f>
        <v>PASS</v>
      </c>
      <c r="J763" s="10" t="s">
        <v>2844</v>
      </c>
    </row>
    <row r="764" customFormat="false" ht="15" hidden="false" customHeight="false" outlineLevel="0" collapsed="false">
      <c r="A764" s="10" t="s">
        <v>2845</v>
      </c>
      <c r="B764" s="10" t="s">
        <v>1103</v>
      </c>
      <c r="C764" s="10" t="s">
        <v>2846</v>
      </c>
      <c r="D764" s="10" t="s">
        <v>1136</v>
      </c>
      <c r="E764" s="10" t="s">
        <v>486</v>
      </c>
      <c r="F764" s="27" t="n">
        <f aca="false">Growth_Decomposition!AE24</f>
        <v>78</v>
      </c>
      <c r="G764" s="12" t="n">
        <v>78</v>
      </c>
      <c r="H764" s="10" t="n">
        <f aca="false">F764-G764</f>
        <v>0</v>
      </c>
      <c r="I764" s="10" t="str">
        <f aca="false">IF(ABS(H764)&lt;=0.000001,"PASS","FAIL")</f>
        <v>PASS</v>
      </c>
      <c r="J764" s="10" t="s">
        <v>2847</v>
      </c>
    </row>
    <row r="765" customFormat="false" ht="15" hidden="false" customHeight="false" outlineLevel="0" collapsed="false">
      <c r="A765" s="10" t="s">
        <v>2848</v>
      </c>
      <c r="B765" s="10" t="s">
        <v>1103</v>
      </c>
      <c r="C765" s="10" t="s">
        <v>2849</v>
      </c>
      <c r="D765" s="10" t="s">
        <v>1136</v>
      </c>
      <c r="E765" s="10" t="s">
        <v>487</v>
      </c>
      <c r="F765" s="16" t="n">
        <f aca="false">Growth_Decomposition!AI24</f>
        <v>0.81</v>
      </c>
      <c r="G765" s="12" t="n">
        <v>0.81</v>
      </c>
      <c r="H765" s="26" t="n">
        <f aca="false">F765-G765</f>
        <v>0</v>
      </c>
      <c r="I765" s="10" t="str">
        <f aca="false">IF(ABS(H765)&lt;=0.000001,"PASS","FAIL")</f>
        <v>PASS</v>
      </c>
      <c r="J765" s="10" t="s">
        <v>2850</v>
      </c>
    </row>
    <row r="766" customFormat="false" ht="15" hidden="false" customHeight="false" outlineLevel="0" collapsed="false">
      <c r="A766" s="10" t="s">
        <v>2851</v>
      </c>
      <c r="B766" s="10" t="s">
        <v>1103</v>
      </c>
      <c r="C766" s="10" t="s">
        <v>2852</v>
      </c>
      <c r="D766" s="10" t="s">
        <v>1136</v>
      </c>
      <c r="E766" s="10" t="s">
        <v>488</v>
      </c>
      <c r="F766" s="16" t="n">
        <f aca="false">Growth_Decomposition!AL24</f>
        <v>0.4</v>
      </c>
      <c r="G766" s="12" t="n">
        <v>0.4</v>
      </c>
      <c r="H766" s="26" t="n">
        <f aca="false">F766-G766</f>
        <v>0</v>
      </c>
      <c r="I766" s="10" t="str">
        <f aca="false">IF(ABS(H766)&lt;=0.000001,"PASS","FAIL")</f>
        <v>PASS</v>
      </c>
      <c r="J766" s="10" t="s">
        <v>2853</v>
      </c>
    </row>
    <row r="767" customFormat="false" ht="15" hidden="false" customHeight="false" outlineLevel="0" collapsed="false">
      <c r="A767" s="10" t="s">
        <v>2854</v>
      </c>
      <c r="B767" s="10" t="s">
        <v>1103</v>
      </c>
      <c r="C767" s="10" t="s">
        <v>2855</v>
      </c>
      <c r="D767" s="10" t="s">
        <v>1136</v>
      </c>
      <c r="E767" s="10" t="s">
        <v>489</v>
      </c>
      <c r="F767" s="16" t="n">
        <f aca="false">Growth_Decomposition!AO24</f>
        <v>0.27</v>
      </c>
      <c r="G767" s="12" t="n">
        <v>0.27</v>
      </c>
      <c r="H767" s="26" t="n">
        <f aca="false">F767-G767</f>
        <v>0</v>
      </c>
      <c r="I767" s="10" t="str">
        <f aca="false">IF(ABS(H767)&lt;=0.000001,"PASS","FAIL")</f>
        <v>PASS</v>
      </c>
      <c r="J767" s="10" t="s">
        <v>2856</v>
      </c>
    </row>
    <row r="768" customFormat="false" ht="15" hidden="false" customHeight="false" outlineLevel="0" collapsed="false">
      <c r="A768" s="10" t="s">
        <v>2857</v>
      </c>
      <c r="B768" s="10" t="s">
        <v>1103</v>
      </c>
      <c r="C768" s="10" t="s">
        <v>2858</v>
      </c>
      <c r="D768" s="10" t="s">
        <v>1136</v>
      </c>
      <c r="E768" s="10" t="s">
        <v>490</v>
      </c>
      <c r="F768" s="16" t="n">
        <f aca="false">Growth_Decomposition!AR24</f>
        <v>0.06</v>
      </c>
      <c r="G768" s="12" t="n">
        <v>0.06</v>
      </c>
      <c r="H768" s="26" t="n">
        <f aca="false">F768-G768</f>
        <v>0</v>
      </c>
      <c r="I768" s="10" t="str">
        <f aca="false">IF(ABS(H768)&lt;=0.000001,"PASS","FAIL")</f>
        <v>PASS</v>
      </c>
      <c r="J768" s="10" t="s">
        <v>2859</v>
      </c>
    </row>
    <row r="769" customFormat="false" ht="15" hidden="false" customHeight="false" outlineLevel="0" collapsed="false">
      <c r="A769" s="10" t="s">
        <v>2860</v>
      </c>
      <c r="B769" s="10" t="s">
        <v>1102</v>
      </c>
      <c r="C769" s="10" t="s">
        <v>2861</v>
      </c>
      <c r="D769" s="10" t="s">
        <v>1136</v>
      </c>
      <c r="E769" s="10" t="s">
        <v>135</v>
      </c>
      <c r="F769" s="22" t="n">
        <f aca="false">Growth_Decomposition!B25</f>
        <v>333878</v>
      </c>
      <c r="G769" s="12" t="n">
        <v>333878</v>
      </c>
      <c r="H769" s="10" t="n">
        <f aca="false">F769-G769</f>
        <v>0</v>
      </c>
      <c r="I769" s="10" t="str">
        <f aca="false">IF(ABS(H769)&lt;=0.000001,"PASS","FAIL")</f>
        <v>PASS</v>
      </c>
      <c r="J769" s="10" t="s">
        <v>2862</v>
      </c>
    </row>
    <row r="770" customFormat="false" ht="15" hidden="false" customHeight="false" outlineLevel="0" collapsed="false">
      <c r="A770" s="10" t="s">
        <v>2863</v>
      </c>
      <c r="B770" s="10" t="s">
        <v>1103</v>
      </c>
      <c r="C770" s="10" t="s">
        <v>2864</v>
      </c>
      <c r="D770" s="10" t="s">
        <v>1136</v>
      </c>
      <c r="E770" s="10" t="s">
        <v>492</v>
      </c>
      <c r="F770" s="16" t="n">
        <f aca="false">Growth_Decomposition!G25</f>
        <v>1.1</v>
      </c>
      <c r="G770" s="12" t="n">
        <v>1.1</v>
      </c>
      <c r="H770" s="26" t="n">
        <f aca="false">F770-G770</f>
        <v>0</v>
      </c>
      <c r="I770" s="10" t="str">
        <f aca="false">IF(ABS(H770)&lt;=0.000001,"PASS","FAIL")</f>
        <v>PASS</v>
      </c>
      <c r="J770" s="10" t="s">
        <v>2865</v>
      </c>
    </row>
    <row r="771" customFormat="false" ht="15" hidden="false" customHeight="false" outlineLevel="0" collapsed="false">
      <c r="A771" s="10" t="s">
        <v>2866</v>
      </c>
      <c r="B771" s="10" t="s">
        <v>1103</v>
      </c>
      <c r="C771" s="10" t="s">
        <v>2867</v>
      </c>
      <c r="D771" s="10" t="s">
        <v>1136</v>
      </c>
      <c r="E771" s="10" t="s">
        <v>493</v>
      </c>
      <c r="F771" s="16" t="n">
        <f aca="false">Growth_Decomposition!J25</f>
        <v>1.14</v>
      </c>
      <c r="G771" s="12" t="n">
        <v>1.14</v>
      </c>
      <c r="H771" s="26" t="n">
        <f aca="false">F771-G771</f>
        <v>0</v>
      </c>
      <c r="I771" s="10" t="str">
        <f aca="false">IF(ABS(H771)&lt;=0.000001,"PASS","FAIL")</f>
        <v>PASS</v>
      </c>
      <c r="J771" s="10" t="s">
        <v>2868</v>
      </c>
    </row>
    <row r="772" customFormat="false" ht="15" hidden="false" customHeight="false" outlineLevel="0" collapsed="false">
      <c r="A772" s="10" t="s">
        <v>2869</v>
      </c>
      <c r="B772" s="10" t="s">
        <v>1103</v>
      </c>
      <c r="C772" s="10" t="s">
        <v>2870</v>
      </c>
      <c r="D772" s="10" t="s">
        <v>1136</v>
      </c>
      <c r="E772" s="10" t="s">
        <v>494</v>
      </c>
      <c r="F772" s="16" t="n">
        <f aca="false">Growth_Decomposition!M25</f>
        <v>1.16</v>
      </c>
      <c r="G772" s="12" t="n">
        <v>1.16</v>
      </c>
      <c r="H772" s="26" t="n">
        <f aca="false">F772-G772</f>
        <v>0</v>
      </c>
      <c r="I772" s="10" t="str">
        <f aca="false">IF(ABS(H772)&lt;=0.000001,"PASS","FAIL")</f>
        <v>PASS</v>
      </c>
      <c r="J772" s="10" t="s">
        <v>2871</v>
      </c>
    </row>
    <row r="773" customFormat="false" ht="15" hidden="false" customHeight="false" outlineLevel="0" collapsed="false">
      <c r="A773" s="10" t="s">
        <v>2872</v>
      </c>
      <c r="B773" s="10" t="s">
        <v>1103</v>
      </c>
      <c r="C773" s="10" t="s">
        <v>2873</v>
      </c>
      <c r="D773" s="10" t="s">
        <v>1136</v>
      </c>
      <c r="E773" s="10" t="s">
        <v>495</v>
      </c>
      <c r="F773" s="16" t="n">
        <f aca="false">Growth_Decomposition!P25</f>
        <v>1.16</v>
      </c>
      <c r="G773" s="12" t="n">
        <v>1.16</v>
      </c>
      <c r="H773" s="26" t="n">
        <f aca="false">F773-G773</f>
        <v>0</v>
      </c>
      <c r="I773" s="10" t="str">
        <f aca="false">IF(ABS(H773)&lt;=0.000001,"PASS","FAIL")</f>
        <v>PASS</v>
      </c>
      <c r="J773" s="10" t="s">
        <v>2874</v>
      </c>
    </row>
    <row r="774" customFormat="false" ht="15" hidden="false" customHeight="false" outlineLevel="0" collapsed="false">
      <c r="A774" s="10" t="s">
        <v>2875</v>
      </c>
      <c r="B774" s="10" t="s">
        <v>1103</v>
      </c>
      <c r="C774" s="10" t="s">
        <v>2876</v>
      </c>
      <c r="D774" s="10" t="s">
        <v>1136</v>
      </c>
      <c r="E774" s="10" t="s">
        <v>496</v>
      </c>
      <c r="F774" s="27" t="n">
        <f aca="false">Growth_Decomposition!S25</f>
        <v>63914</v>
      </c>
      <c r="G774" s="12" t="n">
        <v>63914</v>
      </c>
      <c r="H774" s="10" t="n">
        <f aca="false">F774-G774</f>
        <v>0</v>
      </c>
      <c r="I774" s="10" t="str">
        <f aca="false">IF(ABS(H774)&lt;=0.000001,"PASS","FAIL")</f>
        <v>PASS</v>
      </c>
      <c r="J774" s="10" t="s">
        <v>2877</v>
      </c>
    </row>
    <row r="775" customFormat="false" ht="15" hidden="false" customHeight="false" outlineLevel="0" collapsed="false">
      <c r="A775" s="10" t="s">
        <v>2878</v>
      </c>
      <c r="B775" s="10" t="s">
        <v>1103</v>
      </c>
      <c r="C775" s="10" t="s">
        <v>2879</v>
      </c>
      <c r="D775" s="10" t="s">
        <v>1136</v>
      </c>
      <c r="E775" s="10" t="s">
        <v>497</v>
      </c>
      <c r="F775" s="27" t="n">
        <f aca="false">Growth_Decomposition!W25</f>
        <v>4281</v>
      </c>
      <c r="G775" s="12" t="n">
        <v>4281</v>
      </c>
      <c r="H775" s="10" t="n">
        <f aca="false">F775-G775</f>
        <v>0</v>
      </c>
      <c r="I775" s="10" t="str">
        <f aca="false">IF(ABS(H775)&lt;=0.000001,"PASS","FAIL")</f>
        <v>PASS</v>
      </c>
      <c r="J775" s="10" t="s">
        <v>2880</v>
      </c>
    </row>
    <row r="776" customFormat="false" ht="15" hidden="false" customHeight="false" outlineLevel="0" collapsed="false">
      <c r="A776" s="10" t="s">
        <v>2881</v>
      </c>
      <c r="B776" s="10" t="s">
        <v>1103</v>
      </c>
      <c r="C776" s="10" t="s">
        <v>2882</v>
      </c>
      <c r="D776" s="10" t="s">
        <v>1136</v>
      </c>
      <c r="E776" s="10" t="s">
        <v>498</v>
      </c>
      <c r="F776" s="27" t="n">
        <f aca="false">Growth_Decomposition!AA25</f>
        <v>1756</v>
      </c>
      <c r="G776" s="12" t="n">
        <v>1756</v>
      </c>
      <c r="H776" s="10" t="n">
        <f aca="false">F776-G776</f>
        <v>0</v>
      </c>
      <c r="I776" s="10" t="str">
        <f aca="false">IF(ABS(H776)&lt;=0.000001,"PASS","FAIL")</f>
        <v>PASS</v>
      </c>
      <c r="J776" s="10" t="s">
        <v>2883</v>
      </c>
    </row>
    <row r="777" customFormat="false" ht="15" hidden="false" customHeight="false" outlineLevel="0" collapsed="false">
      <c r="A777" s="10" t="s">
        <v>2884</v>
      </c>
      <c r="B777" s="10" t="s">
        <v>1103</v>
      </c>
      <c r="C777" s="10" t="s">
        <v>2885</v>
      </c>
      <c r="D777" s="10" t="s">
        <v>1136</v>
      </c>
      <c r="E777" s="10" t="s">
        <v>499</v>
      </c>
      <c r="F777" s="27" t="n">
        <f aca="false">Growth_Decomposition!AE25</f>
        <v>87</v>
      </c>
      <c r="G777" s="12" t="n">
        <v>87</v>
      </c>
      <c r="H777" s="10" t="n">
        <f aca="false">F777-G777</f>
        <v>0</v>
      </c>
      <c r="I777" s="10" t="str">
        <f aca="false">IF(ABS(H777)&lt;=0.000001,"PASS","FAIL")</f>
        <v>PASS</v>
      </c>
      <c r="J777" s="10" t="s">
        <v>2886</v>
      </c>
    </row>
    <row r="778" customFormat="false" ht="15" hidden="false" customHeight="false" outlineLevel="0" collapsed="false">
      <c r="A778" s="10" t="s">
        <v>2887</v>
      </c>
      <c r="B778" s="10" t="s">
        <v>1103</v>
      </c>
      <c r="C778" s="10" t="s">
        <v>2888</v>
      </c>
      <c r="D778" s="10" t="s">
        <v>1136</v>
      </c>
      <c r="E778" s="10" t="s">
        <v>500</v>
      </c>
      <c r="F778" s="16" t="n">
        <f aca="false">Growth_Decomposition!AI25</f>
        <v>0.81</v>
      </c>
      <c r="G778" s="12" t="n">
        <v>0.81</v>
      </c>
      <c r="H778" s="26" t="n">
        <f aca="false">F778-G778</f>
        <v>0</v>
      </c>
      <c r="I778" s="10" t="str">
        <f aca="false">IF(ABS(H778)&lt;=0.000001,"PASS","FAIL")</f>
        <v>PASS</v>
      </c>
      <c r="J778" s="10" t="s">
        <v>2889</v>
      </c>
    </row>
    <row r="779" customFormat="false" ht="15" hidden="false" customHeight="false" outlineLevel="0" collapsed="false">
      <c r="A779" s="10" t="s">
        <v>2890</v>
      </c>
      <c r="B779" s="10" t="s">
        <v>1103</v>
      </c>
      <c r="C779" s="10" t="s">
        <v>2891</v>
      </c>
      <c r="D779" s="10" t="s">
        <v>1136</v>
      </c>
      <c r="E779" s="10" t="s">
        <v>501</v>
      </c>
      <c r="F779" s="16" t="n">
        <f aca="false">Growth_Decomposition!AL25</f>
        <v>0.41</v>
      </c>
      <c r="G779" s="12" t="n">
        <v>0.41</v>
      </c>
      <c r="H779" s="26" t="n">
        <f aca="false">F779-G779</f>
        <v>0</v>
      </c>
      <c r="I779" s="10" t="str">
        <f aca="false">IF(ABS(H779)&lt;=0.000001,"PASS","FAIL")</f>
        <v>PASS</v>
      </c>
      <c r="J779" s="10" t="s">
        <v>2892</v>
      </c>
    </row>
    <row r="780" customFormat="false" ht="15" hidden="false" customHeight="false" outlineLevel="0" collapsed="false">
      <c r="A780" s="10" t="s">
        <v>2893</v>
      </c>
      <c r="B780" s="10" t="s">
        <v>1103</v>
      </c>
      <c r="C780" s="10" t="s">
        <v>2894</v>
      </c>
      <c r="D780" s="10" t="s">
        <v>1136</v>
      </c>
      <c r="E780" s="10" t="s">
        <v>502</v>
      </c>
      <c r="F780" s="16" t="n">
        <f aca="false">Growth_Decomposition!AO25</f>
        <v>0.28</v>
      </c>
      <c r="G780" s="12" t="n">
        <v>0.28</v>
      </c>
      <c r="H780" s="26" t="n">
        <f aca="false">F780-G780</f>
        <v>0</v>
      </c>
      <c r="I780" s="10" t="str">
        <f aca="false">IF(ABS(H780)&lt;=0.000001,"PASS","FAIL")</f>
        <v>PASS</v>
      </c>
      <c r="J780" s="10" t="s">
        <v>2895</v>
      </c>
    </row>
    <row r="781" customFormat="false" ht="15" hidden="false" customHeight="false" outlineLevel="0" collapsed="false">
      <c r="A781" s="10" t="s">
        <v>2896</v>
      </c>
      <c r="B781" s="10" t="s">
        <v>1103</v>
      </c>
      <c r="C781" s="10" t="s">
        <v>2897</v>
      </c>
      <c r="D781" s="10" t="s">
        <v>1136</v>
      </c>
      <c r="E781" s="10" t="s">
        <v>503</v>
      </c>
      <c r="F781" s="16" t="n">
        <f aca="false">Growth_Decomposition!AR25</f>
        <v>0.06</v>
      </c>
      <c r="G781" s="12" t="n">
        <v>0.06</v>
      </c>
      <c r="H781" s="26" t="n">
        <f aca="false">F781-G781</f>
        <v>0</v>
      </c>
      <c r="I781" s="10" t="str">
        <f aca="false">IF(ABS(H781)&lt;=0.000001,"PASS","FAIL")</f>
        <v>PASS</v>
      </c>
      <c r="J781" s="10" t="s">
        <v>2898</v>
      </c>
    </row>
    <row r="782" customFormat="false" ht="15" hidden="false" customHeight="false" outlineLevel="0" collapsed="false">
      <c r="A782" s="10" t="s">
        <v>2899</v>
      </c>
      <c r="B782" s="10" t="s">
        <v>1102</v>
      </c>
      <c r="C782" s="10" t="s">
        <v>2900</v>
      </c>
      <c r="D782" s="10" t="s">
        <v>1136</v>
      </c>
      <c r="E782" s="10" t="s">
        <v>140</v>
      </c>
      <c r="F782" s="22" t="n">
        <f aca="false">Growth_Decomposition!B26</f>
        <v>351265</v>
      </c>
      <c r="G782" s="12" t="n">
        <v>351265</v>
      </c>
      <c r="H782" s="10" t="n">
        <f aca="false">F782-G782</f>
        <v>0</v>
      </c>
      <c r="I782" s="10" t="str">
        <f aca="false">IF(ABS(H782)&lt;=0.000001,"PASS","FAIL")</f>
        <v>PASS</v>
      </c>
      <c r="J782" s="10" t="s">
        <v>2901</v>
      </c>
    </row>
    <row r="783" customFormat="false" ht="15" hidden="false" customHeight="false" outlineLevel="0" collapsed="false">
      <c r="A783" s="10" t="s">
        <v>2902</v>
      </c>
      <c r="B783" s="10" t="s">
        <v>1103</v>
      </c>
      <c r="C783" s="10" t="s">
        <v>2903</v>
      </c>
      <c r="D783" s="10" t="s">
        <v>1136</v>
      </c>
      <c r="E783" s="10" t="s">
        <v>505</v>
      </c>
      <c r="F783" s="16" t="n">
        <f aca="false">Growth_Decomposition!G26</f>
        <v>1.1</v>
      </c>
      <c r="G783" s="12" t="n">
        <v>1.1</v>
      </c>
      <c r="H783" s="26" t="n">
        <f aca="false">F783-G783</f>
        <v>0</v>
      </c>
      <c r="I783" s="10" t="str">
        <f aca="false">IF(ABS(H783)&lt;=0.000001,"PASS","FAIL")</f>
        <v>PASS</v>
      </c>
      <c r="J783" s="10" t="s">
        <v>2904</v>
      </c>
    </row>
    <row r="784" customFormat="false" ht="15" hidden="false" customHeight="false" outlineLevel="0" collapsed="false">
      <c r="A784" s="10" t="s">
        <v>2905</v>
      </c>
      <c r="B784" s="10" t="s">
        <v>1103</v>
      </c>
      <c r="C784" s="10" t="s">
        <v>2906</v>
      </c>
      <c r="D784" s="10" t="s">
        <v>1136</v>
      </c>
      <c r="E784" s="10" t="s">
        <v>506</v>
      </c>
      <c r="F784" s="16" t="n">
        <f aca="false">Growth_Decomposition!J26</f>
        <v>1.14</v>
      </c>
      <c r="G784" s="12" t="n">
        <v>1.14</v>
      </c>
      <c r="H784" s="26" t="n">
        <f aca="false">F784-G784</f>
        <v>0</v>
      </c>
      <c r="I784" s="10" t="str">
        <f aca="false">IF(ABS(H784)&lt;=0.000001,"PASS","FAIL")</f>
        <v>PASS</v>
      </c>
      <c r="J784" s="10" t="s">
        <v>2907</v>
      </c>
    </row>
    <row r="785" customFormat="false" ht="15" hidden="false" customHeight="false" outlineLevel="0" collapsed="false">
      <c r="A785" s="10" t="s">
        <v>2908</v>
      </c>
      <c r="B785" s="10" t="s">
        <v>1103</v>
      </c>
      <c r="C785" s="10" t="s">
        <v>2909</v>
      </c>
      <c r="D785" s="10" t="s">
        <v>1136</v>
      </c>
      <c r="E785" s="10" t="s">
        <v>507</v>
      </c>
      <c r="F785" s="16" t="n">
        <f aca="false">Growth_Decomposition!M26</f>
        <v>1.16</v>
      </c>
      <c r="G785" s="12" t="n">
        <v>1.16</v>
      </c>
      <c r="H785" s="26" t="n">
        <f aca="false">F785-G785</f>
        <v>0</v>
      </c>
      <c r="I785" s="10" t="str">
        <f aca="false">IF(ABS(H785)&lt;=0.000001,"PASS","FAIL")</f>
        <v>PASS</v>
      </c>
      <c r="J785" s="10" t="s">
        <v>2910</v>
      </c>
    </row>
    <row r="786" customFormat="false" ht="15" hidden="false" customHeight="false" outlineLevel="0" collapsed="false">
      <c r="A786" s="10" t="s">
        <v>2911</v>
      </c>
      <c r="B786" s="10" t="s">
        <v>1103</v>
      </c>
      <c r="C786" s="10" t="s">
        <v>2912</v>
      </c>
      <c r="D786" s="10" t="s">
        <v>1136</v>
      </c>
      <c r="E786" s="10" t="s">
        <v>508</v>
      </c>
      <c r="F786" s="16" t="n">
        <f aca="false">Growth_Decomposition!P26</f>
        <v>1.15</v>
      </c>
      <c r="G786" s="12" t="n">
        <v>1.15</v>
      </c>
      <c r="H786" s="26" t="n">
        <f aca="false">F786-G786</f>
        <v>0</v>
      </c>
      <c r="I786" s="10" t="str">
        <f aca="false">IF(ABS(H786)&lt;=0.000001,"PASS","FAIL")</f>
        <v>PASS</v>
      </c>
      <c r="J786" s="10" t="s">
        <v>2913</v>
      </c>
    </row>
    <row r="787" customFormat="false" ht="15" hidden="false" customHeight="false" outlineLevel="0" collapsed="false">
      <c r="A787" s="10" t="s">
        <v>2914</v>
      </c>
      <c r="B787" s="10" t="s">
        <v>1103</v>
      </c>
      <c r="C787" s="10" t="s">
        <v>2915</v>
      </c>
      <c r="D787" s="10" t="s">
        <v>1136</v>
      </c>
      <c r="E787" s="10" t="s">
        <v>509</v>
      </c>
      <c r="F787" s="27" t="n">
        <f aca="false">Growth_Decomposition!S26</f>
        <v>65016</v>
      </c>
      <c r="G787" s="12" t="n">
        <v>65016</v>
      </c>
      <c r="H787" s="10" t="n">
        <f aca="false">F787-G787</f>
        <v>0</v>
      </c>
      <c r="I787" s="10" t="str">
        <f aca="false">IF(ABS(H787)&lt;=0.000001,"PASS","FAIL")</f>
        <v>PASS</v>
      </c>
      <c r="J787" s="10" t="s">
        <v>2916</v>
      </c>
    </row>
    <row r="788" customFormat="false" ht="15" hidden="false" customHeight="false" outlineLevel="0" collapsed="false">
      <c r="A788" s="10" t="s">
        <v>2917</v>
      </c>
      <c r="B788" s="10" t="s">
        <v>1103</v>
      </c>
      <c r="C788" s="10" t="s">
        <v>2918</v>
      </c>
      <c r="D788" s="10" t="s">
        <v>1136</v>
      </c>
      <c r="E788" s="10" t="s">
        <v>510</v>
      </c>
      <c r="F788" s="27" t="n">
        <f aca="false">Growth_Decomposition!W26</f>
        <v>4547</v>
      </c>
      <c r="G788" s="12" t="n">
        <v>4547</v>
      </c>
      <c r="H788" s="10" t="n">
        <f aca="false">F788-G788</f>
        <v>0</v>
      </c>
      <c r="I788" s="10" t="str">
        <f aca="false">IF(ABS(H788)&lt;=0.000001,"PASS","FAIL")</f>
        <v>PASS</v>
      </c>
      <c r="J788" s="10" t="s">
        <v>2919</v>
      </c>
    </row>
    <row r="789" customFormat="false" ht="15" hidden="false" customHeight="false" outlineLevel="0" collapsed="false">
      <c r="A789" s="10" t="s">
        <v>2920</v>
      </c>
      <c r="B789" s="10" t="s">
        <v>1103</v>
      </c>
      <c r="C789" s="10" t="s">
        <v>2921</v>
      </c>
      <c r="D789" s="10" t="s">
        <v>1136</v>
      </c>
      <c r="E789" s="10" t="s">
        <v>511</v>
      </c>
      <c r="F789" s="27" t="n">
        <f aca="false">Growth_Decomposition!AA26</f>
        <v>1844</v>
      </c>
      <c r="G789" s="12" t="n">
        <v>1844</v>
      </c>
      <c r="H789" s="10" t="n">
        <f aca="false">F789-G789</f>
        <v>0</v>
      </c>
      <c r="I789" s="10" t="str">
        <f aca="false">IF(ABS(H789)&lt;=0.000001,"PASS","FAIL")</f>
        <v>PASS</v>
      </c>
      <c r="J789" s="10" t="s">
        <v>2922</v>
      </c>
    </row>
    <row r="790" customFormat="false" ht="15" hidden="false" customHeight="false" outlineLevel="0" collapsed="false">
      <c r="A790" s="10" t="s">
        <v>2923</v>
      </c>
      <c r="B790" s="10" t="s">
        <v>1103</v>
      </c>
      <c r="C790" s="10" t="s">
        <v>2924</v>
      </c>
      <c r="D790" s="10" t="s">
        <v>1136</v>
      </c>
      <c r="E790" s="10" t="s">
        <v>512</v>
      </c>
      <c r="F790" s="27" t="n">
        <f aca="false">Growth_Decomposition!AE26</f>
        <v>99</v>
      </c>
      <c r="G790" s="12" t="n">
        <v>99</v>
      </c>
      <c r="H790" s="10" t="n">
        <f aca="false">F790-G790</f>
        <v>0</v>
      </c>
      <c r="I790" s="10" t="str">
        <f aca="false">IF(ABS(H790)&lt;=0.000001,"PASS","FAIL")</f>
        <v>PASS</v>
      </c>
      <c r="J790" s="10" t="s">
        <v>2925</v>
      </c>
    </row>
    <row r="791" customFormat="false" ht="15" hidden="false" customHeight="false" outlineLevel="0" collapsed="false">
      <c r="A791" s="10" t="s">
        <v>2926</v>
      </c>
      <c r="B791" s="10" t="s">
        <v>1103</v>
      </c>
      <c r="C791" s="10" t="s">
        <v>2927</v>
      </c>
      <c r="D791" s="10" t="s">
        <v>1136</v>
      </c>
      <c r="E791" s="10" t="s">
        <v>513</v>
      </c>
      <c r="F791" s="16" t="n">
        <f aca="false">Growth_Decomposition!AI26</f>
        <v>0.82</v>
      </c>
      <c r="G791" s="12" t="n">
        <v>0.82</v>
      </c>
      <c r="H791" s="26" t="n">
        <f aca="false">F791-G791</f>
        <v>0</v>
      </c>
      <c r="I791" s="10" t="str">
        <f aca="false">IF(ABS(H791)&lt;=0.000001,"PASS","FAIL")</f>
        <v>PASS</v>
      </c>
      <c r="J791" s="10" t="s">
        <v>2928</v>
      </c>
    </row>
    <row r="792" customFormat="false" ht="15" hidden="false" customHeight="false" outlineLevel="0" collapsed="false">
      <c r="A792" s="10" t="s">
        <v>2929</v>
      </c>
      <c r="B792" s="10" t="s">
        <v>1103</v>
      </c>
      <c r="C792" s="10" t="s">
        <v>2930</v>
      </c>
      <c r="D792" s="10" t="s">
        <v>1136</v>
      </c>
      <c r="E792" s="10" t="s">
        <v>514</v>
      </c>
      <c r="F792" s="16" t="n">
        <f aca="false">Growth_Decomposition!AL26</f>
        <v>0.42</v>
      </c>
      <c r="G792" s="12" t="n">
        <v>0.42</v>
      </c>
      <c r="H792" s="26" t="n">
        <f aca="false">F792-G792</f>
        <v>0</v>
      </c>
      <c r="I792" s="10" t="str">
        <f aca="false">IF(ABS(H792)&lt;=0.000001,"PASS","FAIL")</f>
        <v>PASS</v>
      </c>
      <c r="J792" s="10" t="s">
        <v>2931</v>
      </c>
    </row>
    <row r="793" customFormat="false" ht="15" hidden="false" customHeight="false" outlineLevel="0" collapsed="false">
      <c r="A793" s="10" t="s">
        <v>2932</v>
      </c>
      <c r="B793" s="10" t="s">
        <v>1103</v>
      </c>
      <c r="C793" s="10" t="s">
        <v>2933</v>
      </c>
      <c r="D793" s="10" t="s">
        <v>1136</v>
      </c>
      <c r="E793" s="10" t="s">
        <v>515</v>
      </c>
      <c r="F793" s="16" t="n">
        <f aca="false">Growth_Decomposition!AO26</f>
        <v>0.29</v>
      </c>
      <c r="G793" s="12" t="n">
        <v>0.29</v>
      </c>
      <c r="H793" s="26" t="n">
        <f aca="false">F793-G793</f>
        <v>0</v>
      </c>
      <c r="I793" s="10" t="str">
        <f aca="false">IF(ABS(H793)&lt;=0.000001,"PASS","FAIL")</f>
        <v>PASS</v>
      </c>
      <c r="J793" s="10" t="s">
        <v>2934</v>
      </c>
    </row>
    <row r="794" customFormat="false" ht="15" hidden="false" customHeight="false" outlineLevel="0" collapsed="false">
      <c r="A794" s="10" t="s">
        <v>2935</v>
      </c>
      <c r="B794" s="10" t="s">
        <v>1103</v>
      </c>
      <c r="C794" s="10" t="s">
        <v>2936</v>
      </c>
      <c r="D794" s="10" t="s">
        <v>1136</v>
      </c>
      <c r="E794" s="10" t="s">
        <v>516</v>
      </c>
      <c r="F794" s="16" t="n">
        <f aca="false">Growth_Decomposition!AR26</f>
        <v>0.06</v>
      </c>
      <c r="G794" s="12" t="n">
        <v>0.06</v>
      </c>
      <c r="H794" s="26" t="n">
        <f aca="false">F794-G794</f>
        <v>0</v>
      </c>
      <c r="I794" s="10" t="str">
        <f aca="false">IF(ABS(H794)&lt;=0.000001,"PASS","FAIL")</f>
        <v>PASS</v>
      </c>
      <c r="J794" s="10" t="s">
        <v>2937</v>
      </c>
    </row>
    <row r="795" customFormat="false" ht="15" hidden="false" customHeight="false" outlineLevel="0" collapsed="false">
      <c r="A795" s="10" t="s">
        <v>2938</v>
      </c>
      <c r="B795" s="10" t="s">
        <v>1102</v>
      </c>
      <c r="C795" s="10" t="s">
        <v>2939</v>
      </c>
      <c r="D795" s="10" t="s">
        <v>1136</v>
      </c>
      <c r="E795" s="10" t="s">
        <v>145</v>
      </c>
      <c r="F795" s="22" t="n">
        <f aca="false">Growth_Decomposition!B27</f>
        <v>364621</v>
      </c>
      <c r="G795" s="12" t="n">
        <v>364621</v>
      </c>
      <c r="H795" s="10" t="n">
        <f aca="false">F795-G795</f>
        <v>0</v>
      </c>
      <c r="I795" s="10" t="str">
        <f aca="false">IF(ABS(H795)&lt;=0.000001,"PASS","FAIL")</f>
        <v>PASS</v>
      </c>
      <c r="J795" s="10" t="s">
        <v>2940</v>
      </c>
    </row>
    <row r="796" customFormat="false" ht="15" hidden="false" customHeight="false" outlineLevel="0" collapsed="false">
      <c r="A796" s="10" t="s">
        <v>2941</v>
      </c>
      <c r="B796" s="10" t="s">
        <v>1103</v>
      </c>
      <c r="C796" s="10" t="s">
        <v>2942</v>
      </c>
      <c r="D796" s="10" t="s">
        <v>1136</v>
      </c>
      <c r="E796" s="10" t="s">
        <v>518</v>
      </c>
      <c r="F796" s="16" t="n">
        <f aca="false">Growth_Decomposition!G27</f>
        <v>1.09</v>
      </c>
      <c r="G796" s="12" t="n">
        <v>1.09</v>
      </c>
      <c r="H796" s="26" t="n">
        <f aca="false">F796-G796</f>
        <v>0</v>
      </c>
      <c r="I796" s="10" t="str">
        <f aca="false">IF(ABS(H796)&lt;=0.000001,"PASS","FAIL")</f>
        <v>PASS</v>
      </c>
      <c r="J796" s="10" t="s">
        <v>2943</v>
      </c>
    </row>
    <row r="797" customFormat="false" ht="15" hidden="false" customHeight="false" outlineLevel="0" collapsed="false">
      <c r="A797" s="10" t="s">
        <v>2944</v>
      </c>
      <c r="B797" s="10" t="s">
        <v>1103</v>
      </c>
      <c r="C797" s="10" t="s">
        <v>2945</v>
      </c>
      <c r="D797" s="10" t="s">
        <v>1136</v>
      </c>
      <c r="E797" s="10" t="s">
        <v>519</v>
      </c>
      <c r="F797" s="16" t="n">
        <f aca="false">Growth_Decomposition!J27</f>
        <v>1.13</v>
      </c>
      <c r="G797" s="12" t="n">
        <v>1.13</v>
      </c>
      <c r="H797" s="26" t="n">
        <f aca="false">F797-G797</f>
        <v>0</v>
      </c>
      <c r="I797" s="10" t="str">
        <f aca="false">IF(ABS(H797)&lt;=0.000001,"PASS","FAIL")</f>
        <v>PASS</v>
      </c>
      <c r="J797" s="10" t="s">
        <v>2946</v>
      </c>
    </row>
    <row r="798" customFormat="false" ht="15" hidden="false" customHeight="false" outlineLevel="0" collapsed="false">
      <c r="A798" s="10" t="s">
        <v>2947</v>
      </c>
      <c r="B798" s="10" t="s">
        <v>1103</v>
      </c>
      <c r="C798" s="10" t="s">
        <v>2948</v>
      </c>
      <c r="D798" s="10" t="s">
        <v>1136</v>
      </c>
      <c r="E798" s="10" t="s">
        <v>520</v>
      </c>
      <c r="F798" s="16" t="n">
        <f aca="false">Growth_Decomposition!M27</f>
        <v>1.15</v>
      </c>
      <c r="G798" s="12" t="n">
        <v>1.15</v>
      </c>
      <c r="H798" s="26" t="n">
        <f aca="false">F798-G798</f>
        <v>0</v>
      </c>
      <c r="I798" s="10" t="str">
        <f aca="false">IF(ABS(H798)&lt;=0.000001,"PASS","FAIL")</f>
        <v>PASS</v>
      </c>
      <c r="J798" s="10" t="s">
        <v>2949</v>
      </c>
    </row>
    <row r="799" customFormat="false" ht="15" hidden="false" customHeight="false" outlineLevel="0" collapsed="false">
      <c r="A799" s="10" t="s">
        <v>2950</v>
      </c>
      <c r="B799" s="10" t="s">
        <v>1103</v>
      </c>
      <c r="C799" s="10" t="s">
        <v>2951</v>
      </c>
      <c r="D799" s="10" t="s">
        <v>1136</v>
      </c>
      <c r="E799" s="10" t="s">
        <v>521</v>
      </c>
      <c r="F799" s="16" t="n">
        <f aca="false">Growth_Decomposition!P27</f>
        <v>1.15</v>
      </c>
      <c r="G799" s="12" t="n">
        <v>1.15</v>
      </c>
      <c r="H799" s="26" t="n">
        <f aca="false">F799-G799</f>
        <v>0</v>
      </c>
      <c r="I799" s="10" t="str">
        <f aca="false">IF(ABS(H799)&lt;=0.000001,"PASS","FAIL")</f>
        <v>PASS</v>
      </c>
      <c r="J799" s="10" t="s">
        <v>2952</v>
      </c>
    </row>
    <row r="800" customFormat="false" ht="15" hidden="false" customHeight="false" outlineLevel="0" collapsed="false">
      <c r="A800" s="10" t="s">
        <v>2953</v>
      </c>
      <c r="B800" s="10" t="s">
        <v>1103</v>
      </c>
      <c r="C800" s="10" t="s">
        <v>2954</v>
      </c>
      <c r="D800" s="10" t="s">
        <v>1136</v>
      </c>
      <c r="E800" s="10" t="s">
        <v>522</v>
      </c>
      <c r="F800" s="27" t="n">
        <f aca="false">Growth_Decomposition!S27</f>
        <v>65783</v>
      </c>
      <c r="G800" s="12" t="n">
        <v>65783</v>
      </c>
      <c r="H800" s="10" t="n">
        <f aca="false">F800-G800</f>
        <v>0</v>
      </c>
      <c r="I800" s="10" t="str">
        <f aca="false">IF(ABS(H800)&lt;=0.000001,"PASS","FAIL")</f>
        <v>PASS</v>
      </c>
      <c r="J800" s="10" t="s">
        <v>2955</v>
      </c>
    </row>
    <row r="801" customFormat="false" ht="15" hidden="false" customHeight="false" outlineLevel="0" collapsed="false">
      <c r="A801" s="10" t="s">
        <v>2956</v>
      </c>
      <c r="B801" s="10" t="s">
        <v>1103</v>
      </c>
      <c r="C801" s="10" t="s">
        <v>2957</v>
      </c>
      <c r="D801" s="10" t="s">
        <v>1136</v>
      </c>
      <c r="E801" s="10" t="s">
        <v>523</v>
      </c>
      <c r="F801" s="27" t="n">
        <f aca="false">Growth_Decomposition!W27</f>
        <v>4834</v>
      </c>
      <c r="G801" s="12" t="n">
        <v>4834</v>
      </c>
      <c r="H801" s="10" t="n">
        <f aca="false">F801-G801</f>
        <v>0</v>
      </c>
      <c r="I801" s="10" t="str">
        <f aca="false">IF(ABS(H801)&lt;=0.000001,"PASS","FAIL")</f>
        <v>PASS</v>
      </c>
      <c r="J801" s="10" t="s">
        <v>2958</v>
      </c>
    </row>
    <row r="802" customFormat="false" ht="15" hidden="false" customHeight="false" outlineLevel="0" collapsed="false">
      <c r="A802" s="10" t="s">
        <v>2959</v>
      </c>
      <c r="B802" s="10" t="s">
        <v>1103</v>
      </c>
      <c r="C802" s="10" t="s">
        <v>2960</v>
      </c>
      <c r="D802" s="10" t="s">
        <v>1136</v>
      </c>
      <c r="E802" s="10" t="s">
        <v>524</v>
      </c>
      <c r="F802" s="27" t="n">
        <f aca="false">Growth_Decomposition!AA27</f>
        <v>2019</v>
      </c>
      <c r="G802" s="12" t="n">
        <v>2019</v>
      </c>
      <c r="H802" s="10" t="n">
        <f aca="false">F802-G802</f>
        <v>0</v>
      </c>
      <c r="I802" s="10" t="str">
        <f aca="false">IF(ABS(H802)&lt;=0.000001,"PASS","FAIL")</f>
        <v>PASS</v>
      </c>
      <c r="J802" s="10" t="s">
        <v>2961</v>
      </c>
    </row>
    <row r="803" customFormat="false" ht="15" hidden="false" customHeight="false" outlineLevel="0" collapsed="false">
      <c r="A803" s="10" t="s">
        <v>2962</v>
      </c>
      <c r="B803" s="10" t="s">
        <v>1103</v>
      </c>
      <c r="C803" s="10" t="s">
        <v>2963</v>
      </c>
      <c r="D803" s="10" t="s">
        <v>1136</v>
      </c>
      <c r="E803" s="10" t="s">
        <v>525</v>
      </c>
      <c r="F803" s="27" t="n">
        <f aca="false">Growth_Decomposition!AE27</f>
        <v>114</v>
      </c>
      <c r="G803" s="12" t="n">
        <v>114</v>
      </c>
      <c r="H803" s="10" t="n">
        <f aca="false">F803-G803</f>
        <v>0</v>
      </c>
      <c r="I803" s="10" t="str">
        <f aca="false">IF(ABS(H803)&lt;=0.000001,"PASS","FAIL")</f>
        <v>PASS</v>
      </c>
      <c r="J803" s="10" t="s">
        <v>2964</v>
      </c>
    </row>
    <row r="804" customFormat="false" ht="15" hidden="false" customHeight="false" outlineLevel="0" collapsed="false">
      <c r="A804" s="10" t="s">
        <v>2965</v>
      </c>
      <c r="B804" s="10" t="s">
        <v>1103</v>
      </c>
      <c r="C804" s="10" t="s">
        <v>2966</v>
      </c>
      <c r="D804" s="10" t="s">
        <v>1136</v>
      </c>
      <c r="E804" s="10" t="s">
        <v>526</v>
      </c>
      <c r="F804" s="16" t="n">
        <f aca="false">Growth_Decomposition!AI27</f>
        <v>0.82</v>
      </c>
      <c r="G804" s="12" t="n">
        <v>0.82</v>
      </c>
      <c r="H804" s="26" t="n">
        <f aca="false">F804-G804</f>
        <v>0</v>
      </c>
      <c r="I804" s="10" t="str">
        <f aca="false">IF(ABS(H804)&lt;=0.000001,"PASS","FAIL")</f>
        <v>PASS</v>
      </c>
      <c r="J804" s="10" t="s">
        <v>2967</v>
      </c>
    </row>
    <row r="805" customFormat="false" ht="15" hidden="false" customHeight="false" outlineLevel="0" collapsed="false">
      <c r="A805" s="10" t="s">
        <v>2968</v>
      </c>
      <c r="B805" s="10" t="s">
        <v>1103</v>
      </c>
      <c r="C805" s="10" t="s">
        <v>2969</v>
      </c>
      <c r="D805" s="10" t="s">
        <v>1136</v>
      </c>
      <c r="E805" s="10" t="s">
        <v>527</v>
      </c>
      <c r="F805" s="16" t="n">
        <f aca="false">Growth_Decomposition!AL27</f>
        <v>0.43</v>
      </c>
      <c r="G805" s="12" t="n">
        <v>0.43</v>
      </c>
      <c r="H805" s="26" t="n">
        <f aca="false">F805-G805</f>
        <v>0</v>
      </c>
      <c r="I805" s="10" t="str">
        <f aca="false">IF(ABS(H805)&lt;=0.000001,"PASS","FAIL")</f>
        <v>PASS</v>
      </c>
      <c r="J805" s="10" t="s">
        <v>2970</v>
      </c>
    </row>
    <row r="806" customFormat="false" ht="15" hidden="false" customHeight="false" outlineLevel="0" collapsed="false">
      <c r="A806" s="10" t="s">
        <v>2971</v>
      </c>
      <c r="B806" s="10" t="s">
        <v>1103</v>
      </c>
      <c r="C806" s="10" t="s">
        <v>2972</v>
      </c>
      <c r="D806" s="10" t="s">
        <v>1136</v>
      </c>
      <c r="E806" s="10" t="s">
        <v>528</v>
      </c>
      <c r="F806" s="16" t="n">
        <f aca="false">Growth_Decomposition!AO27</f>
        <v>0.3</v>
      </c>
      <c r="G806" s="12" t="n">
        <v>0.3</v>
      </c>
      <c r="H806" s="26" t="n">
        <f aca="false">F806-G806</f>
        <v>0</v>
      </c>
      <c r="I806" s="10" t="str">
        <f aca="false">IF(ABS(H806)&lt;=0.000001,"PASS","FAIL")</f>
        <v>PASS</v>
      </c>
      <c r="J806" s="10" t="s">
        <v>2973</v>
      </c>
    </row>
    <row r="807" customFormat="false" ht="15" hidden="false" customHeight="false" outlineLevel="0" collapsed="false">
      <c r="A807" s="10" t="s">
        <v>2974</v>
      </c>
      <c r="B807" s="10" t="s">
        <v>1103</v>
      </c>
      <c r="C807" s="10" t="s">
        <v>2975</v>
      </c>
      <c r="D807" s="10" t="s">
        <v>1136</v>
      </c>
      <c r="E807" s="10" t="s">
        <v>529</v>
      </c>
      <c r="F807" s="16" t="n">
        <f aca="false">Growth_Decomposition!AR27</f>
        <v>0.07</v>
      </c>
      <c r="G807" s="12" t="n">
        <v>0.07</v>
      </c>
      <c r="H807" s="26" t="n">
        <f aca="false">F807-G807</f>
        <v>0</v>
      </c>
      <c r="I807" s="10" t="str">
        <f aca="false">IF(ABS(H807)&lt;=0.000001,"PASS","FAIL")</f>
        <v>PASS</v>
      </c>
      <c r="J807" s="10" t="s">
        <v>2976</v>
      </c>
    </row>
    <row r="808" customFormat="false" ht="15" hidden="false" customHeight="false" outlineLevel="0" collapsed="false">
      <c r="A808" s="10" t="s">
        <v>2977</v>
      </c>
      <c r="B808" s="10" t="s">
        <v>1104</v>
      </c>
      <c r="C808" s="10" t="s">
        <v>2978</v>
      </c>
      <c r="D808" s="10" t="s">
        <v>1136</v>
      </c>
      <c r="E808" s="10" t="s">
        <v>348</v>
      </c>
      <c r="F808" s="22" t="n">
        <f aca="false">Margin_Structure!E6</f>
        <v>58972</v>
      </c>
      <c r="G808" s="12" t="n">
        <v>58972</v>
      </c>
      <c r="H808" s="10" t="n">
        <f aca="false">F808-G808</f>
        <v>0</v>
      </c>
      <c r="I808" s="10" t="str">
        <f aca="false">IF(ABS(H808)&lt;=0.000001,"PASS","FAIL")</f>
        <v>PASS</v>
      </c>
      <c r="J808" s="10" t="s">
        <v>2399</v>
      </c>
    </row>
    <row r="809" customFormat="false" ht="15" hidden="false" customHeight="false" outlineLevel="0" collapsed="false">
      <c r="A809" s="10" t="s">
        <v>2979</v>
      </c>
      <c r="B809" s="10" t="s">
        <v>1104</v>
      </c>
      <c r="C809" s="10" t="s">
        <v>2980</v>
      </c>
      <c r="D809" s="10" t="s">
        <v>1136</v>
      </c>
      <c r="E809" s="10" t="s">
        <v>564</v>
      </c>
      <c r="F809" s="22" t="n">
        <f aca="false">Margin_Structure!H6</f>
        <v>51048</v>
      </c>
      <c r="G809" s="12" t="n">
        <v>51048</v>
      </c>
      <c r="H809" s="10" t="n">
        <f aca="false">F809-G809</f>
        <v>0</v>
      </c>
      <c r="I809" s="10" t="str">
        <f aca="false">IF(ABS(H809)&lt;=0.000001,"PASS","FAIL")</f>
        <v>PASS</v>
      </c>
      <c r="J809" s="10" t="s">
        <v>2981</v>
      </c>
    </row>
    <row r="810" customFormat="false" ht="15" hidden="false" customHeight="false" outlineLevel="0" collapsed="false">
      <c r="A810" s="10" t="s">
        <v>2982</v>
      </c>
      <c r="B810" s="10" t="s">
        <v>1104</v>
      </c>
      <c r="C810" s="10" t="s">
        <v>2983</v>
      </c>
      <c r="D810" s="10" t="s">
        <v>1136</v>
      </c>
      <c r="E810" s="10" t="s">
        <v>565</v>
      </c>
      <c r="F810" s="22" t="n">
        <f aca="false">Margin_Structure!K6</f>
        <v>52579</v>
      </c>
      <c r="G810" s="12" t="n">
        <v>52579</v>
      </c>
      <c r="H810" s="10" t="n">
        <f aca="false">F810-G810</f>
        <v>0</v>
      </c>
      <c r="I810" s="10" t="str">
        <f aca="false">IF(ABS(H810)&lt;=0.000001,"PASS","FAIL")</f>
        <v>PASS</v>
      </c>
      <c r="J810" s="10" t="s">
        <v>2984</v>
      </c>
    </row>
    <row r="811" customFormat="false" ht="15" hidden="false" customHeight="false" outlineLevel="0" collapsed="false">
      <c r="A811" s="10" t="s">
        <v>2985</v>
      </c>
      <c r="B811" s="10" t="s">
        <v>1104</v>
      </c>
      <c r="C811" s="10" t="s">
        <v>2986</v>
      </c>
      <c r="D811" s="10" t="s">
        <v>1136</v>
      </c>
      <c r="E811" s="10" t="s">
        <v>566</v>
      </c>
      <c r="F811" s="22" t="n">
        <f aca="false">Margin_Structure!N6</f>
        <v>15581</v>
      </c>
      <c r="G811" s="12" t="n">
        <v>15581</v>
      </c>
      <c r="H811" s="10" t="n">
        <f aca="false">F811-G811</f>
        <v>0</v>
      </c>
      <c r="I811" s="10" t="str">
        <f aca="false">IF(ABS(H811)&lt;=0.000001,"PASS","FAIL")</f>
        <v>PASS</v>
      </c>
      <c r="J811" s="10" t="s">
        <v>2987</v>
      </c>
    </row>
    <row r="812" customFormat="false" ht="15" hidden="false" customHeight="false" outlineLevel="0" collapsed="false">
      <c r="A812" s="10" t="s">
        <v>2988</v>
      </c>
      <c r="B812" s="10" t="s">
        <v>1104</v>
      </c>
      <c r="C812" s="10" t="s">
        <v>2989</v>
      </c>
      <c r="D812" s="10" t="s">
        <v>1136</v>
      </c>
      <c r="E812" s="10" t="s">
        <v>567</v>
      </c>
      <c r="F812" s="22" t="n">
        <f aca="false">Margin_Structure!Q6</f>
        <v>11044</v>
      </c>
      <c r="G812" s="12" t="n">
        <v>11044</v>
      </c>
      <c r="H812" s="10" t="n">
        <f aca="false">F812-G812</f>
        <v>0</v>
      </c>
      <c r="I812" s="10" t="str">
        <f aca="false">IF(ABS(H812)&lt;=0.000001,"PASS","FAIL")</f>
        <v>PASS</v>
      </c>
      <c r="J812" s="10" t="s">
        <v>2990</v>
      </c>
    </row>
    <row r="813" customFormat="false" ht="15" hidden="false" customHeight="false" outlineLevel="0" collapsed="false">
      <c r="A813" s="10" t="s">
        <v>2991</v>
      </c>
      <c r="B813" s="10" t="s">
        <v>1104</v>
      </c>
      <c r="C813" s="10" t="s">
        <v>2992</v>
      </c>
      <c r="D813" s="10" t="s">
        <v>1136</v>
      </c>
      <c r="E813" s="10" t="s">
        <v>568</v>
      </c>
      <c r="F813" s="22" t="n">
        <f aca="false">Margin_Structure!T6</f>
        <v>63048</v>
      </c>
      <c r="G813" s="12" t="n">
        <v>63048</v>
      </c>
      <c r="H813" s="10" t="n">
        <f aca="false">F813-G813</f>
        <v>0</v>
      </c>
      <c r="I813" s="10" t="str">
        <f aca="false">IF(ABS(H813)&lt;=0.000001,"PASS","FAIL")</f>
        <v>PASS</v>
      </c>
      <c r="J813" s="10" t="s">
        <v>2993</v>
      </c>
    </row>
    <row r="814" customFormat="false" ht="15" hidden="false" customHeight="false" outlineLevel="0" collapsed="false">
      <c r="A814" s="10" t="s">
        <v>2994</v>
      </c>
      <c r="B814" s="10" t="s">
        <v>1104</v>
      </c>
      <c r="C814" s="10" t="s">
        <v>2995</v>
      </c>
      <c r="D814" s="10" t="s">
        <v>1136</v>
      </c>
      <c r="E814" s="10" t="s">
        <v>569</v>
      </c>
      <c r="F814" s="22" t="n">
        <f aca="false">Margin_Structure!W6</f>
        <v>59014</v>
      </c>
      <c r="G814" s="12" t="n">
        <v>59014</v>
      </c>
      <c r="H814" s="10" t="n">
        <f aca="false">F814-G814</f>
        <v>0</v>
      </c>
      <c r="I814" s="10" t="str">
        <f aca="false">IF(ABS(H814)&lt;=0.000001,"PASS","FAIL")</f>
        <v>PASS</v>
      </c>
      <c r="J814" s="10" t="s">
        <v>2996</v>
      </c>
    </row>
    <row r="815" customFormat="false" ht="15" hidden="false" customHeight="false" outlineLevel="0" collapsed="false">
      <c r="A815" s="10" t="s">
        <v>2997</v>
      </c>
      <c r="B815" s="10" t="s">
        <v>1104</v>
      </c>
      <c r="C815" s="10" t="s">
        <v>2998</v>
      </c>
      <c r="D815" s="10" t="s">
        <v>1136</v>
      </c>
      <c r="E815" s="10" t="s">
        <v>570</v>
      </c>
      <c r="F815" s="22" t="n">
        <f aca="false">Margin_Structure!Z6</f>
        <v>10266</v>
      </c>
      <c r="G815" s="12" t="n">
        <v>10266</v>
      </c>
      <c r="H815" s="10" t="n">
        <f aca="false">F815-G815</f>
        <v>0</v>
      </c>
      <c r="I815" s="10" t="str">
        <f aca="false">IF(ABS(H815)&lt;=0.000001,"PASS","FAIL")</f>
        <v>PASS</v>
      </c>
      <c r="J815" s="10" t="s">
        <v>2999</v>
      </c>
    </row>
    <row r="816" customFormat="false" ht="15" hidden="false" customHeight="false" outlineLevel="0" collapsed="false">
      <c r="A816" s="10" t="s">
        <v>3000</v>
      </c>
      <c r="B816" s="10" t="s">
        <v>1104</v>
      </c>
      <c r="C816" s="10" t="s">
        <v>3001</v>
      </c>
      <c r="D816" s="10" t="s">
        <v>1136</v>
      </c>
      <c r="E816" s="10" t="s">
        <v>571</v>
      </c>
      <c r="F816" s="22" t="n">
        <f aca="false">Margin_Structure!AC6</f>
        <v>5828</v>
      </c>
      <c r="G816" s="12" t="n">
        <v>5828</v>
      </c>
      <c r="H816" s="10" t="n">
        <f aca="false">F816-G816</f>
        <v>0</v>
      </c>
      <c r="I816" s="10" t="str">
        <f aca="false">IF(ABS(H816)&lt;=0.000001,"PASS","FAIL")</f>
        <v>PASS</v>
      </c>
      <c r="J816" s="10" t="s">
        <v>3002</v>
      </c>
    </row>
    <row r="817" customFormat="false" ht="15" hidden="false" customHeight="false" outlineLevel="0" collapsed="false">
      <c r="A817" s="10" t="s">
        <v>3003</v>
      </c>
      <c r="B817" s="10" t="s">
        <v>1104</v>
      </c>
      <c r="C817" s="10" t="s">
        <v>3004</v>
      </c>
      <c r="D817" s="10" t="s">
        <v>1136</v>
      </c>
      <c r="E817" s="10" t="s">
        <v>572</v>
      </c>
      <c r="F817" s="22" t="n">
        <f aca="false">Margin_Structure!AF6</f>
        <v>-37847</v>
      </c>
      <c r="G817" s="12" t="n">
        <v>-37847</v>
      </c>
      <c r="H817" s="10" t="n">
        <f aca="false">F817-G817</f>
        <v>0</v>
      </c>
      <c r="I817" s="10" t="str">
        <f aca="false">IF(ABS(H817)&lt;=0.000001,"PASS","FAIL")</f>
        <v>PASS</v>
      </c>
      <c r="J817" s="10" t="s">
        <v>3005</v>
      </c>
    </row>
    <row r="818" customFormat="false" ht="15" hidden="false" customHeight="false" outlineLevel="0" collapsed="false">
      <c r="A818" s="10" t="s">
        <v>3006</v>
      </c>
      <c r="B818" s="10" t="s">
        <v>1104</v>
      </c>
      <c r="C818" s="10" t="s">
        <v>3007</v>
      </c>
      <c r="D818" s="10" t="s">
        <v>1136</v>
      </c>
      <c r="E818" s="10" t="s">
        <v>573</v>
      </c>
      <c r="F818" s="22" t="n">
        <f aca="false">Margin_Structure!AI6</f>
        <v>-23307</v>
      </c>
      <c r="G818" s="12" t="n">
        <v>-23307</v>
      </c>
      <c r="H818" s="10" t="n">
        <f aca="false">F818-G818</f>
        <v>0</v>
      </c>
      <c r="I818" s="10" t="str">
        <f aca="false">IF(ABS(H818)&lt;=0.000001,"PASS","FAIL")</f>
        <v>PASS</v>
      </c>
      <c r="J818" s="10" t="s">
        <v>3008</v>
      </c>
    </row>
    <row r="819" customFormat="false" ht="15" hidden="false" customHeight="false" outlineLevel="0" collapsed="false">
      <c r="A819" s="10" t="s">
        <v>3009</v>
      </c>
      <c r="B819" s="10" t="s">
        <v>1104</v>
      </c>
      <c r="C819" s="10" t="s">
        <v>3010</v>
      </c>
      <c r="D819" s="10" t="s">
        <v>1136</v>
      </c>
      <c r="E819" s="10" t="s">
        <v>352</v>
      </c>
      <c r="F819" s="22" t="n">
        <f aca="false">Margin_Structure!E7</f>
        <v>70615</v>
      </c>
      <c r="G819" s="12" t="n">
        <v>70615</v>
      </c>
      <c r="H819" s="10" t="n">
        <f aca="false">F819-G819</f>
        <v>0</v>
      </c>
      <c r="I819" s="10" t="str">
        <f aca="false">IF(ABS(H819)&lt;=0.000001,"PASS","FAIL")</f>
        <v>PASS</v>
      </c>
      <c r="J819" s="10" t="s">
        <v>2408</v>
      </c>
    </row>
    <row r="820" customFormat="false" ht="15" hidden="false" customHeight="false" outlineLevel="0" collapsed="false">
      <c r="A820" s="10" t="s">
        <v>3011</v>
      </c>
      <c r="B820" s="10" t="s">
        <v>1104</v>
      </c>
      <c r="C820" s="10" t="s">
        <v>3012</v>
      </c>
      <c r="D820" s="10" t="s">
        <v>1136</v>
      </c>
      <c r="E820" s="10" t="s">
        <v>574</v>
      </c>
      <c r="F820" s="22" t="n">
        <f aca="false">Margin_Structure!H7</f>
        <v>61507</v>
      </c>
      <c r="G820" s="12" t="n">
        <v>61507</v>
      </c>
      <c r="H820" s="10" t="n">
        <f aca="false">F820-G820</f>
        <v>0</v>
      </c>
      <c r="I820" s="10" t="str">
        <f aca="false">IF(ABS(H820)&lt;=0.000001,"PASS","FAIL")</f>
        <v>PASS</v>
      </c>
      <c r="J820" s="10" t="s">
        <v>3013</v>
      </c>
    </row>
    <row r="821" customFormat="false" ht="15" hidden="false" customHeight="false" outlineLevel="0" collapsed="false">
      <c r="A821" s="10" t="s">
        <v>3014</v>
      </c>
      <c r="B821" s="10" t="s">
        <v>1104</v>
      </c>
      <c r="C821" s="10" t="s">
        <v>3015</v>
      </c>
      <c r="D821" s="10" t="s">
        <v>1136</v>
      </c>
      <c r="E821" s="10" t="s">
        <v>575</v>
      </c>
      <c r="F821" s="22" t="n">
        <f aca="false">Margin_Structure!K7</f>
        <v>63340</v>
      </c>
      <c r="G821" s="12" t="n">
        <v>63340</v>
      </c>
      <c r="H821" s="10" t="n">
        <f aca="false">F821-G821</f>
        <v>0</v>
      </c>
      <c r="I821" s="10" t="str">
        <f aca="false">IF(ABS(H821)&lt;=0.000001,"PASS","FAIL")</f>
        <v>PASS</v>
      </c>
      <c r="J821" s="10" t="s">
        <v>3016</v>
      </c>
    </row>
    <row r="822" customFormat="false" ht="15" hidden="false" customHeight="false" outlineLevel="0" collapsed="false">
      <c r="A822" s="10" t="s">
        <v>3017</v>
      </c>
      <c r="B822" s="10" t="s">
        <v>1104</v>
      </c>
      <c r="C822" s="10" t="s">
        <v>3018</v>
      </c>
      <c r="D822" s="10" t="s">
        <v>1136</v>
      </c>
      <c r="E822" s="10" t="s">
        <v>576</v>
      </c>
      <c r="F822" s="22" t="n">
        <f aca="false">Margin_Structure!N7</f>
        <v>16271</v>
      </c>
      <c r="G822" s="12" t="n">
        <v>16271</v>
      </c>
      <c r="H822" s="10" t="n">
        <f aca="false">F822-G822</f>
        <v>0</v>
      </c>
      <c r="I822" s="10" t="str">
        <f aca="false">IF(ABS(H822)&lt;=0.000001,"PASS","FAIL")</f>
        <v>PASS</v>
      </c>
      <c r="J822" s="10" t="s">
        <v>3019</v>
      </c>
    </row>
    <row r="823" customFormat="false" ht="15" hidden="false" customHeight="false" outlineLevel="0" collapsed="false">
      <c r="A823" s="10" t="s">
        <v>3020</v>
      </c>
      <c r="B823" s="10" t="s">
        <v>1104</v>
      </c>
      <c r="C823" s="10" t="s">
        <v>3021</v>
      </c>
      <c r="D823" s="10" t="s">
        <v>1136</v>
      </c>
      <c r="E823" s="10" t="s">
        <v>577</v>
      </c>
      <c r="F823" s="22" t="n">
        <f aca="false">Margin_Structure!Q7</f>
        <v>11203</v>
      </c>
      <c r="G823" s="12" t="n">
        <v>11203</v>
      </c>
      <c r="H823" s="10" t="n">
        <f aca="false">F823-G823</f>
        <v>0</v>
      </c>
      <c r="I823" s="10" t="str">
        <f aca="false">IF(ABS(H823)&lt;=0.000001,"PASS","FAIL")</f>
        <v>PASS</v>
      </c>
      <c r="J823" s="10" t="s">
        <v>3022</v>
      </c>
    </row>
    <row r="824" customFormat="false" ht="15" hidden="false" customHeight="false" outlineLevel="0" collapsed="false">
      <c r="A824" s="10" t="s">
        <v>3023</v>
      </c>
      <c r="B824" s="10" t="s">
        <v>1104</v>
      </c>
      <c r="C824" s="10" t="s">
        <v>3024</v>
      </c>
      <c r="D824" s="10" t="s">
        <v>1136</v>
      </c>
      <c r="E824" s="10" t="s">
        <v>578</v>
      </c>
      <c r="F824" s="22" t="n">
        <f aca="false">Margin_Structure!T7</f>
        <v>61057</v>
      </c>
      <c r="G824" s="12" t="n">
        <v>61057</v>
      </c>
      <c r="H824" s="10" t="n">
        <f aca="false">F824-G824</f>
        <v>0</v>
      </c>
      <c r="I824" s="10" t="str">
        <f aca="false">IF(ABS(H824)&lt;=0.000001,"PASS","FAIL")</f>
        <v>PASS</v>
      </c>
      <c r="J824" s="10" t="s">
        <v>3025</v>
      </c>
    </row>
    <row r="825" customFormat="false" ht="15" hidden="false" customHeight="false" outlineLevel="0" collapsed="false">
      <c r="A825" s="10" t="s">
        <v>3026</v>
      </c>
      <c r="B825" s="10" t="s">
        <v>1104</v>
      </c>
      <c r="C825" s="10" t="s">
        <v>3027</v>
      </c>
      <c r="D825" s="10" t="s">
        <v>1136</v>
      </c>
      <c r="E825" s="10" t="s">
        <v>579</v>
      </c>
      <c r="F825" s="22" t="n">
        <f aca="false">Margin_Structure!W7</f>
        <v>55521</v>
      </c>
      <c r="G825" s="12" t="n">
        <v>55521</v>
      </c>
      <c r="H825" s="10" t="n">
        <f aca="false">F825-G825</f>
        <v>0</v>
      </c>
      <c r="I825" s="10" t="str">
        <f aca="false">IF(ABS(H825)&lt;=0.000001,"PASS","FAIL")</f>
        <v>PASS</v>
      </c>
      <c r="J825" s="10" t="s">
        <v>3028</v>
      </c>
    </row>
    <row r="826" customFormat="false" ht="15" hidden="false" customHeight="false" outlineLevel="0" collapsed="false">
      <c r="A826" s="10" t="s">
        <v>3029</v>
      </c>
      <c r="B826" s="10" t="s">
        <v>1104</v>
      </c>
      <c r="C826" s="10" t="s">
        <v>3030</v>
      </c>
      <c r="D826" s="10" t="s">
        <v>1136</v>
      </c>
      <c r="E826" s="10" t="s">
        <v>580</v>
      </c>
      <c r="F826" s="22" t="n">
        <f aca="false">Margin_Structure!Z7</f>
        <v>11648</v>
      </c>
      <c r="G826" s="12" t="n">
        <v>11648</v>
      </c>
      <c r="H826" s="10" t="n">
        <f aca="false">F826-G826</f>
        <v>0</v>
      </c>
      <c r="I826" s="10" t="str">
        <f aca="false">IF(ABS(H826)&lt;=0.000001,"PASS","FAIL")</f>
        <v>PASS</v>
      </c>
      <c r="J826" s="10" t="s">
        <v>3031</v>
      </c>
    </row>
    <row r="827" customFormat="false" ht="15" hidden="false" customHeight="false" outlineLevel="0" collapsed="false">
      <c r="A827" s="10" t="s">
        <v>3032</v>
      </c>
      <c r="B827" s="10" t="s">
        <v>1104</v>
      </c>
      <c r="C827" s="10" t="s">
        <v>3033</v>
      </c>
      <c r="D827" s="10" t="s">
        <v>1136</v>
      </c>
      <c r="E827" s="10" t="s">
        <v>581</v>
      </c>
      <c r="F827" s="22" t="n">
        <f aca="false">Margin_Structure!AC7</f>
        <v>6527</v>
      </c>
      <c r="G827" s="12" t="n">
        <v>6527</v>
      </c>
      <c r="H827" s="10" t="n">
        <f aca="false">F827-G827</f>
        <v>0</v>
      </c>
      <c r="I827" s="10" t="str">
        <f aca="false">IF(ABS(H827)&lt;=0.000001,"PASS","FAIL")</f>
        <v>PASS</v>
      </c>
      <c r="J827" s="10" t="s">
        <v>3034</v>
      </c>
    </row>
    <row r="828" customFormat="false" ht="15" hidden="false" customHeight="false" outlineLevel="0" collapsed="false">
      <c r="A828" s="10" t="s">
        <v>3035</v>
      </c>
      <c r="B828" s="10" t="s">
        <v>1104</v>
      </c>
      <c r="C828" s="10" t="s">
        <v>3036</v>
      </c>
      <c r="D828" s="10" t="s">
        <v>1136</v>
      </c>
      <c r="E828" s="10" t="s">
        <v>582</v>
      </c>
      <c r="F828" s="22" t="n">
        <f aca="false">Margin_Structure!AF7</f>
        <v>-27469</v>
      </c>
      <c r="G828" s="12" t="n">
        <v>-27469</v>
      </c>
      <c r="H828" s="10" t="n">
        <f aca="false">F828-G828</f>
        <v>0</v>
      </c>
      <c r="I828" s="10" t="str">
        <f aca="false">IF(ABS(H828)&lt;=0.000001,"PASS","FAIL")</f>
        <v>PASS</v>
      </c>
      <c r="J828" s="10" t="s">
        <v>3037</v>
      </c>
    </row>
    <row r="829" customFormat="false" ht="15" hidden="false" customHeight="false" outlineLevel="0" collapsed="false">
      <c r="A829" s="10" t="s">
        <v>3038</v>
      </c>
      <c r="B829" s="10" t="s">
        <v>1104</v>
      </c>
      <c r="C829" s="10" t="s">
        <v>3039</v>
      </c>
      <c r="D829" s="10" t="s">
        <v>1136</v>
      </c>
      <c r="E829" s="10" t="s">
        <v>583</v>
      </c>
      <c r="F829" s="22" t="n">
        <f aca="false">Margin_Structure!AI7</f>
        <v>-9911</v>
      </c>
      <c r="G829" s="12" t="n">
        <v>-9911</v>
      </c>
      <c r="H829" s="10" t="n">
        <f aca="false">F829-G829</f>
        <v>0</v>
      </c>
      <c r="I829" s="10" t="str">
        <f aca="false">IF(ABS(H829)&lt;=0.000001,"PASS","FAIL")</f>
        <v>PASS</v>
      </c>
      <c r="J829" s="10" t="s">
        <v>3040</v>
      </c>
    </row>
    <row r="830" customFormat="false" ht="15" hidden="false" customHeight="false" outlineLevel="0" collapsed="false">
      <c r="A830" s="10" t="s">
        <v>3041</v>
      </c>
      <c r="B830" s="10" t="s">
        <v>1104</v>
      </c>
      <c r="C830" s="10" t="s">
        <v>3042</v>
      </c>
      <c r="D830" s="10" t="s">
        <v>1136</v>
      </c>
      <c r="E830" s="10" t="s">
        <v>57</v>
      </c>
      <c r="F830" s="22" t="n">
        <f aca="false">Margin_Structure!E8</f>
        <v>83018</v>
      </c>
      <c r="G830" s="12" t="n">
        <v>83018</v>
      </c>
      <c r="H830" s="10" t="n">
        <f aca="false">F830-G830</f>
        <v>0</v>
      </c>
      <c r="I830" s="10" t="str">
        <f aca="false">IF(ABS(H830)&lt;=0.000001,"PASS","FAIL")</f>
        <v>PASS</v>
      </c>
      <c r="J830" s="10" t="s">
        <v>2418</v>
      </c>
    </row>
    <row r="831" customFormat="false" ht="15" hidden="false" customHeight="false" outlineLevel="0" collapsed="false">
      <c r="A831" s="10" t="s">
        <v>3043</v>
      </c>
      <c r="B831" s="10" t="s">
        <v>1104</v>
      </c>
      <c r="C831" s="10" t="s">
        <v>3044</v>
      </c>
      <c r="D831" s="10" t="s">
        <v>1136</v>
      </c>
      <c r="E831" s="10" t="s">
        <v>584</v>
      </c>
      <c r="F831" s="22" t="n">
        <f aca="false">Margin_Structure!H8</f>
        <v>72805</v>
      </c>
      <c r="G831" s="12" t="n">
        <v>72805</v>
      </c>
      <c r="H831" s="10" t="n">
        <f aca="false">F831-G831</f>
        <v>0</v>
      </c>
      <c r="I831" s="10" t="str">
        <f aca="false">IF(ABS(H831)&lt;=0.000001,"PASS","FAIL")</f>
        <v>PASS</v>
      </c>
      <c r="J831" s="10" t="s">
        <v>3045</v>
      </c>
    </row>
    <row r="832" customFormat="false" ht="15" hidden="false" customHeight="false" outlineLevel="0" collapsed="false">
      <c r="A832" s="10" t="s">
        <v>3046</v>
      </c>
      <c r="B832" s="10" t="s">
        <v>1104</v>
      </c>
      <c r="C832" s="10" t="s">
        <v>3047</v>
      </c>
      <c r="D832" s="10" t="s">
        <v>1136</v>
      </c>
      <c r="E832" s="10" t="s">
        <v>585</v>
      </c>
      <c r="F832" s="22" t="n">
        <f aca="false">Margin_Structure!K8</f>
        <v>74912</v>
      </c>
      <c r="G832" s="12" t="n">
        <v>74912</v>
      </c>
      <c r="H832" s="10" t="n">
        <f aca="false">F832-G832</f>
        <v>0</v>
      </c>
      <c r="I832" s="10" t="str">
        <f aca="false">IF(ABS(H832)&lt;=0.000001,"PASS","FAIL")</f>
        <v>PASS</v>
      </c>
      <c r="J832" s="10" t="s">
        <v>3048</v>
      </c>
    </row>
    <row r="833" customFormat="false" ht="15" hidden="false" customHeight="false" outlineLevel="0" collapsed="false">
      <c r="A833" s="10" t="s">
        <v>3049</v>
      </c>
      <c r="B833" s="10" t="s">
        <v>1104</v>
      </c>
      <c r="C833" s="10" t="s">
        <v>3050</v>
      </c>
      <c r="D833" s="10" t="s">
        <v>1136</v>
      </c>
      <c r="E833" s="10" t="s">
        <v>586</v>
      </c>
      <c r="F833" s="22" t="n">
        <f aca="false">Margin_Structure!N8</f>
        <v>19875</v>
      </c>
      <c r="G833" s="12" t="n">
        <v>19875</v>
      </c>
      <c r="H833" s="10" t="n">
        <f aca="false">F833-G833</f>
        <v>0</v>
      </c>
      <c r="I833" s="10" t="str">
        <f aca="false">IF(ABS(H833)&lt;=0.000001,"PASS","FAIL")</f>
        <v>PASS</v>
      </c>
      <c r="J833" s="10" t="s">
        <v>3051</v>
      </c>
    </row>
    <row r="834" customFormat="false" ht="15" hidden="false" customHeight="false" outlineLevel="0" collapsed="false">
      <c r="A834" s="10" t="s">
        <v>3052</v>
      </c>
      <c r="B834" s="10" t="s">
        <v>1104</v>
      </c>
      <c r="C834" s="10" t="s">
        <v>3053</v>
      </c>
      <c r="D834" s="10" t="s">
        <v>1136</v>
      </c>
      <c r="E834" s="10" t="s">
        <v>587</v>
      </c>
      <c r="F834" s="22" t="n">
        <f aca="false">Margin_Structure!Q8</f>
        <v>14255</v>
      </c>
      <c r="G834" s="12" t="n">
        <v>14255</v>
      </c>
      <c r="H834" s="10" t="n">
        <f aca="false">F834-G834</f>
        <v>0</v>
      </c>
      <c r="I834" s="10" t="str">
        <f aca="false">IF(ABS(H834)&lt;=0.000001,"PASS","FAIL")</f>
        <v>PASS</v>
      </c>
      <c r="J834" s="10" t="s">
        <v>3054</v>
      </c>
    </row>
    <row r="835" customFormat="false" ht="15" hidden="false" customHeight="false" outlineLevel="0" collapsed="false">
      <c r="A835" s="10" t="s">
        <v>3055</v>
      </c>
      <c r="B835" s="10" t="s">
        <v>1104</v>
      </c>
      <c r="C835" s="10" t="s">
        <v>3056</v>
      </c>
      <c r="D835" s="10" t="s">
        <v>1136</v>
      </c>
      <c r="E835" s="10" t="s">
        <v>588</v>
      </c>
      <c r="F835" s="22" t="n">
        <f aca="false">Margin_Structure!T8</f>
        <v>67443</v>
      </c>
      <c r="G835" s="12" t="n">
        <v>67443</v>
      </c>
      <c r="H835" s="10" t="n">
        <f aca="false">F835-G835</f>
        <v>0</v>
      </c>
      <c r="I835" s="10" t="str">
        <f aca="false">IF(ABS(H835)&lt;=0.000001,"PASS","FAIL")</f>
        <v>PASS</v>
      </c>
      <c r="J835" s="10" t="s">
        <v>3057</v>
      </c>
    </row>
    <row r="836" customFormat="false" ht="15" hidden="false" customHeight="false" outlineLevel="0" collapsed="false">
      <c r="A836" s="10" t="s">
        <v>3058</v>
      </c>
      <c r="B836" s="10" t="s">
        <v>1104</v>
      </c>
      <c r="C836" s="10" t="s">
        <v>3059</v>
      </c>
      <c r="D836" s="10" t="s">
        <v>1136</v>
      </c>
      <c r="E836" s="10" t="s">
        <v>589</v>
      </c>
      <c r="F836" s="22" t="n">
        <f aca="false">Margin_Structure!W8</f>
        <v>60995</v>
      </c>
      <c r="G836" s="12" t="n">
        <v>60995</v>
      </c>
      <c r="H836" s="10" t="n">
        <f aca="false">F836-G836</f>
        <v>0</v>
      </c>
      <c r="I836" s="10" t="str">
        <f aca="false">IF(ABS(H836)&lt;=0.000001,"PASS","FAIL")</f>
        <v>PASS</v>
      </c>
      <c r="J836" s="10" t="s">
        <v>3060</v>
      </c>
    </row>
    <row r="837" customFormat="false" ht="15" hidden="false" customHeight="false" outlineLevel="0" collapsed="false">
      <c r="A837" s="10" t="s">
        <v>3061</v>
      </c>
      <c r="B837" s="10" t="s">
        <v>1104</v>
      </c>
      <c r="C837" s="10" t="s">
        <v>3062</v>
      </c>
      <c r="D837" s="10" t="s">
        <v>1136</v>
      </c>
      <c r="E837" s="10" t="s">
        <v>590</v>
      </c>
      <c r="F837" s="22" t="n">
        <f aca="false">Margin_Structure!Z8</f>
        <v>14698</v>
      </c>
      <c r="G837" s="12" t="n">
        <v>14698</v>
      </c>
      <c r="H837" s="10" t="n">
        <f aca="false">F837-G837</f>
        <v>0</v>
      </c>
      <c r="I837" s="10" t="str">
        <f aca="false">IF(ABS(H837)&lt;=0.000001,"PASS","FAIL")</f>
        <v>PASS</v>
      </c>
      <c r="J837" s="10" t="s">
        <v>3063</v>
      </c>
    </row>
    <row r="838" customFormat="false" ht="15" hidden="false" customHeight="false" outlineLevel="0" collapsed="false">
      <c r="A838" s="10" t="s">
        <v>3064</v>
      </c>
      <c r="B838" s="10" t="s">
        <v>1104</v>
      </c>
      <c r="C838" s="10" t="s">
        <v>3065</v>
      </c>
      <c r="D838" s="10" t="s">
        <v>1136</v>
      </c>
      <c r="E838" s="10" t="s">
        <v>591</v>
      </c>
      <c r="F838" s="22" t="n">
        <f aca="false">Margin_Structure!AC8</f>
        <v>9111</v>
      </c>
      <c r="G838" s="12" t="n">
        <v>9111</v>
      </c>
      <c r="H838" s="10" t="n">
        <f aca="false">F838-G838</f>
        <v>0</v>
      </c>
      <c r="I838" s="10" t="str">
        <f aca="false">IF(ABS(H838)&lt;=0.000001,"PASS","FAIL")</f>
        <v>PASS</v>
      </c>
      <c r="J838" s="10" t="s">
        <v>3066</v>
      </c>
    </row>
    <row r="839" customFormat="false" ht="15" hidden="false" customHeight="false" outlineLevel="0" collapsed="false">
      <c r="A839" s="10" t="s">
        <v>3067</v>
      </c>
      <c r="B839" s="10" t="s">
        <v>1104</v>
      </c>
      <c r="C839" s="10" t="s">
        <v>3068</v>
      </c>
      <c r="D839" s="10" t="s">
        <v>1136</v>
      </c>
      <c r="E839" s="10" t="s">
        <v>592</v>
      </c>
      <c r="F839" s="22" t="n">
        <f aca="false">Margin_Structure!AF8</f>
        <v>-29211</v>
      </c>
      <c r="G839" s="12" t="n">
        <v>-29211</v>
      </c>
      <c r="H839" s="10" t="n">
        <f aca="false">F839-G839</f>
        <v>0</v>
      </c>
      <c r="I839" s="10" t="str">
        <f aca="false">IF(ABS(H839)&lt;=0.000001,"PASS","FAIL")</f>
        <v>PASS</v>
      </c>
      <c r="J839" s="10" t="s">
        <v>3069</v>
      </c>
    </row>
    <row r="840" customFormat="false" ht="15" hidden="false" customHeight="false" outlineLevel="0" collapsed="false">
      <c r="A840" s="10" t="s">
        <v>3070</v>
      </c>
      <c r="B840" s="10" t="s">
        <v>1104</v>
      </c>
      <c r="C840" s="10" t="s">
        <v>3071</v>
      </c>
      <c r="D840" s="10" t="s">
        <v>1136</v>
      </c>
      <c r="E840" s="10" t="s">
        <v>152</v>
      </c>
      <c r="F840" s="22" t="n">
        <f aca="false">Margin_Structure!AI8</f>
        <v>-9449</v>
      </c>
      <c r="G840" s="12" t="n">
        <v>-9449</v>
      </c>
      <c r="H840" s="10" t="n">
        <f aca="false">F840-G840</f>
        <v>0</v>
      </c>
      <c r="I840" s="10" t="str">
        <f aca="false">IF(ABS(H840)&lt;=0.000001,"PASS","FAIL")</f>
        <v>PASS</v>
      </c>
      <c r="J840" s="10" t="s">
        <v>3072</v>
      </c>
    </row>
    <row r="841" customFormat="false" ht="15" hidden="false" customHeight="false" outlineLevel="0" collapsed="false">
      <c r="A841" s="10" t="s">
        <v>3073</v>
      </c>
      <c r="B841" s="10" t="s">
        <v>1104</v>
      </c>
      <c r="C841" s="10" t="s">
        <v>3074</v>
      </c>
      <c r="D841" s="10" t="s">
        <v>1136</v>
      </c>
      <c r="E841" s="10" t="s">
        <v>61</v>
      </c>
      <c r="F841" s="22" t="n">
        <f aca="false">Margin_Structure!E9</f>
        <v>95545</v>
      </c>
      <c r="G841" s="12" t="n">
        <v>95545</v>
      </c>
      <c r="H841" s="10" t="n">
        <f aca="false">F841-G841</f>
        <v>0</v>
      </c>
      <c r="I841" s="10" t="str">
        <f aca="false">IF(ABS(H841)&lt;=0.000001,"PASS","FAIL")</f>
        <v>PASS</v>
      </c>
      <c r="J841" s="10" t="s">
        <v>2428</v>
      </c>
    </row>
    <row r="842" customFormat="false" ht="15" hidden="false" customHeight="false" outlineLevel="0" collapsed="false">
      <c r="A842" s="10" t="s">
        <v>3075</v>
      </c>
      <c r="B842" s="10" t="s">
        <v>1104</v>
      </c>
      <c r="C842" s="10" t="s">
        <v>3076</v>
      </c>
      <c r="D842" s="10" t="s">
        <v>1136</v>
      </c>
      <c r="E842" s="10" t="s">
        <v>593</v>
      </c>
      <c r="F842" s="22" t="n">
        <f aca="false">Margin_Structure!H9</f>
        <v>83777</v>
      </c>
      <c r="G842" s="12" t="n">
        <v>83777</v>
      </c>
      <c r="H842" s="10" t="n">
        <f aca="false">F842-G842</f>
        <v>0</v>
      </c>
      <c r="I842" s="10" t="str">
        <f aca="false">IF(ABS(H842)&lt;=0.000001,"PASS","FAIL")</f>
        <v>PASS</v>
      </c>
      <c r="J842" s="10" t="s">
        <v>3077</v>
      </c>
    </row>
    <row r="843" customFormat="false" ht="15" hidden="false" customHeight="false" outlineLevel="0" collapsed="false">
      <c r="A843" s="10" t="s">
        <v>3078</v>
      </c>
      <c r="B843" s="10" t="s">
        <v>1104</v>
      </c>
      <c r="C843" s="10" t="s">
        <v>3079</v>
      </c>
      <c r="D843" s="10" t="s">
        <v>1136</v>
      </c>
      <c r="E843" s="10" t="s">
        <v>594</v>
      </c>
      <c r="F843" s="22" t="n">
        <f aca="false">Margin_Structure!K9</f>
        <v>85987</v>
      </c>
      <c r="G843" s="12" t="n">
        <v>85987</v>
      </c>
      <c r="H843" s="10" t="n">
        <f aca="false">F843-G843</f>
        <v>0</v>
      </c>
      <c r="I843" s="10" t="str">
        <f aca="false">IF(ABS(H843)&lt;=0.000001,"PASS","FAIL")</f>
        <v>PASS</v>
      </c>
      <c r="J843" s="10" t="s">
        <v>3080</v>
      </c>
    </row>
    <row r="844" customFormat="false" ht="15" hidden="false" customHeight="false" outlineLevel="0" collapsed="false">
      <c r="A844" s="10" t="s">
        <v>3081</v>
      </c>
      <c r="B844" s="10" t="s">
        <v>1104</v>
      </c>
      <c r="C844" s="10" t="s">
        <v>3082</v>
      </c>
      <c r="D844" s="10" t="s">
        <v>1136</v>
      </c>
      <c r="E844" s="10" t="s">
        <v>595</v>
      </c>
      <c r="F844" s="22" t="n">
        <f aca="false">Margin_Structure!N9</f>
        <v>21959</v>
      </c>
      <c r="G844" s="12" t="n">
        <v>21959</v>
      </c>
      <c r="H844" s="10" t="n">
        <f aca="false">F844-G844</f>
        <v>0</v>
      </c>
      <c r="I844" s="10" t="str">
        <f aca="false">IF(ABS(H844)&lt;=0.000001,"PASS","FAIL")</f>
        <v>PASS</v>
      </c>
      <c r="J844" s="10" t="s">
        <v>3083</v>
      </c>
    </row>
    <row r="845" customFormat="false" ht="15" hidden="false" customHeight="false" outlineLevel="0" collapsed="false">
      <c r="A845" s="10" t="s">
        <v>3084</v>
      </c>
      <c r="B845" s="10" t="s">
        <v>1104</v>
      </c>
      <c r="C845" s="10" t="s">
        <v>3085</v>
      </c>
      <c r="D845" s="10" t="s">
        <v>1136</v>
      </c>
      <c r="E845" s="10" t="s">
        <v>596</v>
      </c>
      <c r="F845" s="22" t="n">
        <f aca="false">Margin_Structure!Q9</f>
        <v>15405</v>
      </c>
      <c r="G845" s="12" t="n">
        <v>15405</v>
      </c>
      <c r="H845" s="10" t="n">
        <f aca="false">F845-G845</f>
        <v>0</v>
      </c>
      <c r="I845" s="10" t="str">
        <f aca="false">IF(ABS(H845)&lt;=0.000001,"PASS","FAIL")</f>
        <v>PASS</v>
      </c>
      <c r="J845" s="10" t="s">
        <v>3086</v>
      </c>
    </row>
    <row r="846" customFormat="false" ht="15" hidden="false" customHeight="false" outlineLevel="0" collapsed="false">
      <c r="A846" s="10" t="s">
        <v>3087</v>
      </c>
      <c r="B846" s="10" t="s">
        <v>1104</v>
      </c>
      <c r="C846" s="10" t="s">
        <v>3088</v>
      </c>
      <c r="D846" s="10" t="s">
        <v>1136</v>
      </c>
      <c r="E846" s="10" t="s">
        <v>597</v>
      </c>
      <c r="F846" s="22" t="n">
        <f aca="false">Margin_Structure!T9</f>
        <v>76535</v>
      </c>
      <c r="G846" s="12" t="n">
        <v>76535</v>
      </c>
      <c r="H846" s="10" t="n">
        <f aca="false">F846-G846</f>
        <v>0</v>
      </c>
      <c r="I846" s="10" t="str">
        <f aca="false">IF(ABS(H846)&lt;=0.000001,"PASS","FAIL")</f>
        <v>PASS</v>
      </c>
      <c r="J846" s="10" t="s">
        <v>3089</v>
      </c>
    </row>
    <row r="847" customFormat="false" ht="15" hidden="false" customHeight="false" outlineLevel="0" collapsed="false">
      <c r="A847" s="10" t="s">
        <v>3090</v>
      </c>
      <c r="B847" s="10" t="s">
        <v>1104</v>
      </c>
      <c r="C847" s="10" t="s">
        <v>3091</v>
      </c>
      <c r="D847" s="10" t="s">
        <v>1136</v>
      </c>
      <c r="E847" s="10" t="s">
        <v>598</v>
      </c>
      <c r="F847" s="22" t="n">
        <f aca="false">Margin_Structure!W9</f>
        <v>69418</v>
      </c>
      <c r="G847" s="12" t="n">
        <v>69418</v>
      </c>
      <c r="H847" s="10" t="n">
        <f aca="false">F847-G847</f>
        <v>0</v>
      </c>
      <c r="I847" s="10" t="str">
        <f aca="false">IF(ABS(H847)&lt;=0.000001,"PASS","FAIL")</f>
        <v>PASS</v>
      </c>
      <c r="J847" s="10" t="s">
        <v>3092</v>
      </c>
    </row>
    <row r="848" customFormat="false" ht="15" hidden="false" customHeight="false" outlineLevel="0" collapsed="false">
      <c r="A848" s="10" t="s">
        <v>3093</v>
      </c>
      <c r="B848" s="10" t="s">
        <v>1104</v>
      </c>
      <c r="C848" s="10" t="s">
        <v>3094</v>
      </c>
      <c r="D848" s="10" t="s">
        <v>1136</v>
      </c>
      <c r="E848" s="10" t="s">
        <v>599</v>
      </c>
      <c r="F848" s="22" t="n">
        <f aca="false">Margin_Structure!Z9</f>
        <v>16881</v>
      </c>
      <c r="G848" s="12" t="n">
        <v>16881</v>
      </c>
      <c r="H848" s="10" t="n">
        <f aca="false">F848-G848</f>
        <v>0</v>
      </c>
      <c r="I848" s="10" t="str">
        <f aca="false">IF(ABS(H848)&lt;=0.000001,"PASS","FAIL")</f>
        <v>PASS</v>
      </c>
      <c r="J848" s="10" t="s">
        <v>3095</v>
      </c>
    </row>
    <row r="849" customFormat="false" ht="15" hidden="false" customHeight="false" outlineLevel="0" collapsed="false">
      <c r="A849" s="10" t="s">
        <v>3096</v>
      </c>
      <c r="B849" s="10" t="s">
        <v>1104</v>
      </c>
      <c r="C849" s="10" t="s">
        <v>3097</v>
      </c>
      <c r="D849" s="10" t="s">
        <v>1136</v>
      </c>
      <c r="E849" s="10" t="s">
        <v>600</v>
      </c>
      <c r="F849" s="22" t="n">
        <f aca="false">Margin_Structure!AC9</f>
        <v>11093</v>
      </c>
      <c r="G849" s="12" t="n">
        <v>11093</v>
      </c>
      <c r="H849" s="10" t="n">
        <f aca="false">F849-G849</f>
        <v>0</v>
      </c>
      <c r="I849" s="10" t="str">
        <f aca="false">IF(ABS(H849)&lt;=0.000001,"PASS","FAIL")</f>
        <v>PASS</v>
      </c>
      <c r="J849" s="10" t="s">
        <v>3098</v>
      </c>
    </row>
    <row r="850" customFormat="false" ht="15" hidden="false" customHeight="false" outlineLevel="0" collapsed="false">
      <c r="A850" s="10" t="s">
        <v>3099</v>
      </c>
      <c r="B850" s="10" t="s">
        <v>1104</v>
      </c>
      <c r="C850" s="10" t="s">
        <v>3100</v>
      </c>
      <c r="D850" s="10" t="s">
        <v>1136</v>
      </c>
      <c r="E850" s="10" t="s">
        <v>601</v>
      </c>
      <c r="F850" s="22" t="n">
        <f aca="false">Margin_Structure!AF9</f>
        <v>-31598</v>
      </c>
      <c r="G850" s="12" t="n">
        <v>-31598</v>
      </c>
      <c r="H850" s="10" t="n">
        <f aca="false">F850-G850</f>
        <v>0</v>
      </c>
      <c r="I850" s="10" t="str">
        <f aca="false">IF(ABS(H850)&lt;=0.000001,"PASS","FAIL")</f>
        <v>PASS</v>
      </c>
      <c r="J850" s="10" t="s">
        <v>3101</v>
      </c>
    </row>
    <row r="851" customFormat="false" ht="15" hidden="false" customHeight="false" outlineLevel="0" collapsed="false">
      <c r="A851" s="10" t="s">
        <v>3102</v>
      </c>
      <c r="B851" s="10" t="s">
        <v>1104</v>
      </c>
      <c r="C851" s="10" t="s">
        <v>3103</v>
      </c>
      <c r="D851" s="10" t="s">
        <v>1136</v>
      </c>
      <c r="E851" s="10" t="s">
        <v>155</v>
      </c>
      <c r="F851" s="22" t="n">
        <f aca="false">Margin_Structure!AI9</f>
        <v>-9929</v>
      </c>
      <c r="G851" s="12" t="n">
        <v>-9929</v>
      </c>
      <c r="H851" s="10" t="n">
        <f aca="false">F851-G851</f>
        <v>0</v>
      </c>
      <c r="I851" s="10" t="str">
        <f aca="false">IF(ABS(H851)&lt;=0.000001,"PASS","FAIL")</f>
        <v>PASS</v>
      </c>
      <c r="J851" s="10" t="s">
        <v>3104</v>
      </c>
    </row>
    <row r="852" customFormat="false" ht="15" hidden="false" customHeight="false" outlineLevel="0" collapsed="false">
      <c r="A852" s="10" t="s">
        <v>3105</v>
      </c>
      <c r="B852" s="10" t="s">
        <v>1104</v>
      </c>
      <c r="C852" s="10" t="s">
        <v>3106</v>
      </c>
      <c r="D852" s="10" t="s">
        <v>1136</v>
      </c>
      <c r="E852" s="10" t="s">
        <v>65</v>
      </c>
      <c r="F852" s="22" t="n">
        <f aca="false">Margin_Structure!E10</f>
        <v>108497</v>
      </c>
      <c r="G852" s="12" t="n">
        <v>108497</v>
      </c>
      <c r="H852" s="10" t="n">
        <f aca="false">F852-G852</f>
        <v>0</v>
      </c>
      <c r="I852" s="10" t="str">
        <f aca="false">IF(ABS(H852)&lt;=0.000001,"PASS","FAIL")</f>
        <v>PASS</v>
      </c>
      <c r="J852" s="10" t="s">
        <v>2445</v>
      </c>
    </row>
    <row r="853" customFormat="false" ht="15" hidden="false" customHeight="false" outlineLevel="0" collapsed="false">
      <c r="A853" s="10" t="s">
        <v>3107</v>
      </c>
      <c r="B853" s="10" t="s">
        <v>1104</v>
      </c>
      <c r="C853" s="10" t="s">
        <v>3108</v>
      </c>
      <c r="D853" s="10" t="s">
        <v>1136</v>
      </c>
      <c r="E853" s="10" t="s">
        <v>602</v>
      </c>
      <c r="F853" s="22" t="n">
        <f aca="false">Margin_Structure!H10</f>
        <v>93888</v>
      </c>
      <c r="G853" s="12" t="n">
        <v>93888</v>
      </c>
      <c r="H853" s="10" t="n">
        <f aca="false">F853-G853</f>
        <v>0</v>
      </c>
      <c r="I853" s="10" t="str">
        <f aca="false">IF(ABS(H853)&lt;=0.000001,"PASS","FAIL")</f>
        <v>PASS</v>
      </c>
      <c r="J853" s="10" t="s">
        <v>3109</v>
      </c>
    </row>
    <row r="854" customFormat="false" ht="15" hidden="false" customHeight="false" outlineLevel="0" collapsed="false">
      <c r="A854" s="10" t="s">
        <v>3110</v>
      </c>
      <c r="B854" s="10" t="s">
        <v>1104</v>
      </c>
      <c r="C854" s="10" t="s">
        <v>3111</v>
      </c>
      <c r="D854" s="10" t="s">
        <v>1136</v>
      </c>
      <c r="E854" s="10" t="s">
        <v>603</v>
      </c>
      <c r="F854" s="22" t="n">
        <f aca="false">Margin_Structure!K10</f>
        <v>96329</v>
      </c>
      <c r="G854" s="12" t="n">
        <v>96329</v>
      </c>
      <c r="H854" s="10" t="n">
        <f aca="false">F854-G854</f>
        <v>0</v>
      </c>
      <c r="I854" s="10" t="str">
        <f aca="false">IF(ABS(H854)&lt;=0.000001,"PASS","FAIL")</f>
        <v>PASS</v>
      </c>
      <c r="J854" s="10" t="s">
        <v>3112</v>
      </c>
    </row>
    <row r="855" customFormat="false" ht="15" hidden="false" customHeight="false" outlineLevel="0" collapsed="false">
      <c r="A855" s="10" t="s">
        <v>3113</v>
      </c>
      <c r="B855" s="10" t="s">
        <v>1104</v>
      </c>
      <c r="C855" s="10" t="s">
        <v>3114</v>
      </c>
      <c r="D855" s="10" t="s">
        <v>1136</v>
      </c>
      <c r="E855" s="10" t="s">
        <v>604</v>
      </c>
      <c r="F855" s="22" t="n">
        <f aca="false">Margin_Structure!N10</f>
        <v>26541</v>
      </c>
      <c r="G855" s="12" t="n">
        <v>26541</v>
      </c>
      <c r="H855" s="10" t="n">
        <f aca="false">F855-G855</f>
        <v>0</v>
      </c>
      <c r="I855" s="10" t="str">
        <f aca="false">IF(ABS(H855)&lt;=0.000001,"PASS","FAIL")</f>
        <v>PASS</v>
      </c>
      <c r="J855" s="10" t="s">
        <v>3115</v>
      </c>
    </row>
    <row r="856" customFormat="false" ht="15" hidden="false" customHeight="false" outlineLevel="0" collapsed="false">
      <c r="A856" s="10" t="s">
        <v>3116</v>
      </c>
      <c r="B856" s="10" t="s">
        <v>1104</v>
      </c>
      <c r="C856" s="10" t="s">
        <v>3117</v>
      </c>
      <c r="D856" s="10" t="s">
        <v>1136</v>
      </c>
      <c r="E856" s="10" t="s">
        <v>605</v>
      </c>
      <c r="F856" s="22" t="n">
        <f aca="false">Margin_Structure!Q10</f>
        <v>19153</v>
      </c>
      <c r="G856" s="12" t="n">
        <v>19153</v>
      </c>
      <c r="H856" s="10" t="n">
        <f aca="false">F856-G856</f>
        <v>0</v>
      </c>
      <c r="I856" s="10" t="str">
        <f aca="false">IF(ABS(H856)&lt;=0.000001,"PASS","FAIL")</f>
        <v>PASS</v>
      </c>
      <c r="J856" s="10" t="s">
        <v>3118</v>
      </c>
    </row>
    <row r="857" customFormat="false" ht="15" hidden="false" customHeight="false" outlineLevel="0" collapsed="false">
      <c r="A857" s="10" t="s">
        <v>3119</v>
      </c>
      <c r="B857" s="10" t="s">
        <v>1104</v>
      </c>
      <c r="C857" s="10" t="s">
        <v>3120</v>
      </c>
      <c r="D857" s="10" t="s">
        <v>1136</v>
      </c>
      <c r="E857" s="10" t="s">
        <v>606</v>
      </c>
      <c r="F857" s="22" t="n">
        <f aca="false">Margin_Structure!T10</f>
        <v>115973</v>
      </c>
      <c r="G857" s="12" t="n">
        <v>115973</v>
      </c>
      <c r="H857" s="10" t="n">
        <f aca="false">F857-G857</f>
        <v>0</v>
      </c>
      <c r="I857" s="10" t="str">
        <f aca="false">IF(ABS(H857)&lt;=0.000001,"PASS","FAIL")</f>
        <v>PASS</v>
      </c>
      <c r="J857" s="10" t="s">
        <v>3121</v>
      </c>
    </row>
    <row r="858" customFormat="false" ht="15" hidden="false" customHeight="false" outlineLevel="0" collapsed="false">
      <c r="A858" s="10" t="s">
        <v>3122</v>
      </c>
      <c r="B858" s="10" t="s">
        <v>1104</v>
      </c>
      <c r="C858" s="10" t="s">
        <v>3123</v>
      </c>
      <c r="D858" s="10" t="s">
        <v>1136</v>
      </c>
      <c r="E858" s="10" t="s">
        <v>607</v>
      </c>
      <c r="F858" s="22" t="n">
        <f aca="false">Margin_Structure!W10</f>
        <v>108595</v>
      </c>
      <c r="G858" s="12" t="n">
        <v>108595</v>
      </c>
      <c r="H858" s="10" t="n">
        <f aca="false">F858-G858</f>
        <v>0</v>
      </c>
      <c r="I858" s="10" t="str">
        <f aca="false">IF(ABS(H858)&lt;=0.000001,"PASS","FAIL")</f>
        <v>PASS</v>
      </c>
      <c r="J858" s="10" t="s">
        <v>3124</v>
      </c>
    </row>
    <row r="859" customFormat="false" ht="15" hidden="false" customHeight="false" outlineLevel="0" collapsed="false">
      <c r="A859" s="10" t="s">
        <v>3125</v>
      </c>
      <c r="B859" s="10" t="s">
        <v>1104</v>
      </c>
      <c r="C859" s="10" t="s">
        <v>3126</v>
      </c>
      <c r="D859" s="10" t="s">
        <v>1136</v>
      </c>
      <c r="E859" s="10" t="s">
        <v>608</v>
      </c>
      <c r="F859" s="22" t="n">
        <f aca="false">Margin_Structure!Z10</f>
        <v>18870</v>
      </c>
      <c r="G859" s="12" t="n">
        <v>18870</v>
      </c>
      <c r="H859" s="10" t="n">
        <f aca="false">F859-G859</f>
        <v>0</v>
      </c>
      <c r="I859" s="10" t="str">
        <f aca="false">IF(ABS(H859)&lt;=0.000001,"PASS","FAIL")</f>
        <v>PASS</v>
      </c>
      <c r="J859" s="10" t="s">
        <v>3127</v>
      </c>
    </row>
    <row r="860" customFormat="false" ht="15" hidden="false" customHeight="false" outlineLevel="0" collapsed="false">
      <c r="A860" s="10" t="s">
        <v>3128</v>
      </c>
      <c r="B860" s="10" t="s">
        <v>1104</v>
      </c>
      <c r="C860" s="10" t="s">
        <v>3129</v>
      </c>
      <c r="D860" s="10" t="s">
        <v>1136</v>
      </c>
      <c r="E860" s="10" t="s">
        <v>609</v>
      </c>
      <c r="F860" s="22" t="n">
        <f aca="false">Margin_Structure!AC10</f>
        <v>12411</v>
      </c>
      <c r="G860" s="12" t="n">
        <v>12411</v>
      </c>
      <c r="H860" s="10" t="n">
        <f aca="false">F860-G860</f>
        <v>0</v>
      </c>
      <c r="I860" s="10" t="str">
        <f aca="false">IF(ABS(H860)&lt;=0.000001,"PASS","FAIL")</f>
        <v>PASS</v>
      </c>
      <c r="J860" s="10" t="s">
        <v>3130</v>
      </c>
    </row>
    <row r="861" customFormat="false" ht="15" hidden="false" customHeight="false" outlineLevel="0" collapsed="false">
      <c r="A861" s="10" t="s">
        <v>3131</v>
      </c>
      <c r="B861" s="10" t="s">
        <v>1104</v>
      </c>
      <c r="C861" s="10" t="s">
        <v>3132</v>
      </c>
      <c r="D861" s="10" t="s">
        <v>1136</v>
      </c>
      <c r="E861" s="10" t="s">
        <v>610</v>
      </c>
      <c r="F861" s="22" t="n">
        <f aca="false">Margin_Structure!AF10</f>
        <v>-67496</v>
      </c>
      <c r="G861" s="12" t="n">
        <v>-67496</v>
      </c>
      <c r="H861" s="10" t="n">
        <f aca="false">F861-G861</f>
        <v>0</v>
      </c>
      <c r="I861" s="10" t="str">
        <f aca="false">IF(ABS(H861)&lt;=0.000001,"PASS","FAIL")</f>
        <v>PASS</v>
      </c>
      <c r="J861" s="10" t="s">
        <v>3133</v>
      </c>
    </row>
    <row r="862" customFormat="false" ht="15" hidden="false" customHeight="false" outlineLevel="0" collapsed="false">
      <c r="A862" s="10" t="s">
        <v>3134</v>
      </c>
      <c r="B862" s="10" t="s">
        <v>1104</v>
      </c>
      <c r="C862" s="10" t="s">
        <v>3135</v>
      </c>
      <c r="D862" s="10" t="s">
        <v>1136</v>
      </c>
      <c r="E862" s="10" t="s">
        <v>157</v>
      </c>
      <c r="F862" s="22" t="n">
        <f aca="false">Margin_Structure!AI10</f>
        <v>-43830</v>
      </c>
      <c r="G862" s="12" t="n">
        <v>-43830</v>
      </c>
      <c r="H862" s="10" t="n">
        <f aca="false">F862-G862</f>
        <v>0</v>
      </c>
      <c r="I862" s="10" t="str">
        <f aca="false">IF(ABS(H862)&lt;=0.000001,"PASS","FAIL")</f>
        <v>PASS</v>
      </c>
      <c r="J862" s="10" t="s">
        <v>3136</v>
      </c>
    </row>
    <row r="863" customFormat="false" ht="15" hidden="false" customHeight="false" outlineLevel="0" collapsed="false">
      <c r="A863" s="10" t="s">
        <v>3137</v>
      </c>
      <c r="B863" s="10" t="s">
        <v>1104</v>
      </c>
      <c r="C863" s="10" t="s">
        <v>3138</v>
      </c>
      <c r="D863" s="10" t="s">
        <v>1136</v>
      </c>
      <c r="E863" s="10" t="s">
        <v>71</v>
      </c>
      <c r="F863" s="22" t="n">
        <f aca="false">Margin_Structure!E11</f>
        <v>123718</v>
      </c>
      <c r="G863" s="12" t="n">
        <v>123718</v>
      </c>
      <c r="H863" s="10" t="n">
        <f aca="false">F863-G863</f>
        <v>0</v>
      </c>
      <c r="I863" s="10" t="str">
        <f aca="false">IF(ABS(H863)&lt;=0.000001,"PASS","FAIL")</f>
        <v>PASS</v>
      </c>
      <c r="J863" s="10" t="s">
        <v>2466</v>
      </c>
    </row>
    <row r="864" customFormat="false" ht="15" hidden="false" customHeight="false" outlineLevel="0" collapsed="false">
      <c r="A864" s="10" t="s">
        <v>3139</v>
      </c>
      <c r="B864" s="10" t="s">
        <v>1104</v>
      </c>
      <c r="C864" s="10" t="s">
        <v>3140</v>
      </c>
      <c r="D864" s="10" t="s">
        <v>1136</v>
      </c>
      <c r="E864" s="10" t="s">
        <v>611</v>
      </c>
      <c r="F864" s="22" t="n">
        <f aca="false">Margin_Structure!H11</f>
        <v>106988</v>
      </c>
      <c r="G864" s="12" t="n">
        <v>106988</v>
      </c>
      <c r="H864" s="10" t="n">
        <f aca="false">F864-G864</f>
        <v>0</v>
      </c>
      <c r="I864" s="10" t="str">
        <f aca="false">IF(ABS(H864)&lt;=0.000001,"PASS","FAIL")</f>
        <v>PASS</v>
      </c>
      <c r="J864" s="10" t="s">
        <v>3141</v>
      </c>
    </row>
    <row r="865" customFormat="false" ht="15" hidden="false" customHeight="false" outlineLevel="0" collapsed="false">
      <c r="A865" s="10" t="s">
        <v>3142</v>
      </c>
      <c r="B865" s="10" t="s">
        <v>1104</v>
      </c>
      <c r="C865" s="10" t="s">
        <v>3143</v>
      </c>
      <c r="D865" s="10" t="s">
        <v>1136</v>
      </c>
      <c r="E865" s="10" t="s">
        <v>612</v>
      </c>
      <c r="F865" s="22" t="n">
        <f aca="false">Margin_Structure!K11</f>
        <v>109903</v>
      </c>
      <c r="G865" s="12" t="n">
        <v>109903</v>
      </c>
      <c r="H865" s="10" t="n">
        <f aca="false">F865-G865</f>
        <v>0</v>
      </c>
      <c r="I865" s="10" t="str">
        <f aca="false">IF(ABS(H865)&lt;=0.000001,"PASS","FAIL")</f>
        <v>PASS</v>
      </c>
      <c r="J865" s="10" t="s">
        <v>3144</v>
      </c>
    </row>
    <row r="866" customFormat="false" ht="15" hidden="false" customHeight="false" outlineLevel="0" collapsed="false">
      <c r="A866" s="10" t="s">
        <v>3145</v>
      </c>
      <c r="B866" s="10" t="s">
        <v>1104</v>
      </c>
      <c r="C866" s="10" t="s">
        <v>3146</v>
      </c>
      <c r="D866" s="10" t="s">
        <v>1136</v>
      </c>
      <c r="E866" s="10" t="s">
        <v>613</v>
      </c>
      <c r="F866" s="22" t="n">
        <f aca="false">Margin_Structure!N11</f>
        <v>33962</v>
      </c>
      <c r="G866" s="12" t="n">
        <v>33962</v>
      </c>
      <c r="H866" s="10" t="n">
        <f aca="false">F866-G866</f>
        <v>0</v>
      </c>
      <c r="I866" s="10" t="str">
        <f aca="false">IF(ABS(H866)&lt;=0.000001,"PASS","FAIL")</f>
        <v>PASS</v>
      </c>
      <c r="J866" s="10" t="s">
        <v>3147</v>
      </c>
    </row>
    <row r="867" customFormat="false" ht="15" hidden="false" customHeight="false" outlineLevel="0" collapsed="false">
      <c r="A867" s="10" t="s">
        <v>3148</v>
      </c>
      <c r="B867" s="10" t="s">
        <v>1104</v>
      </c>
      <c r="C867" s="10" t="s">
        <v>3149</v>
      </c>
      <c r="D867" s="10" t="s">
        <v>1136</v>
      </c>
      <c r="E867" s="10" t="s">
        <v>614</v>
      </c>
      <c r="F867" s="22" t="n">
        <f aca="false">Margin_Structure!Q11</f>
        <v>23963</v>
      </c>
      <c r="G867" s="12" t="n">
        <v>23963</v>
      </c>
      <c r="H867" s="10" t="n">
        <f aca="false">F867-G867</f>
        <v>0</v>
      </c>
      <c r="I867" s="10" t="str">
        <f aca="false">IF(ABS(H867)&lt;=0.000001,"PASS","FAIL")</f>
        <v>PASS</v>
      </c>
      <c r="J867" s="10" t="s">
        <v>3150</v>
      </c>
    </row>
    <row r="868" customFormat="false" ht="15" hidden="false" customHeight="false" outlineLevel="0" collapsed="false">
      <c r="A868" s="10" t="s">
        <v>3151</v>
      </c>
      <c r="B868" s="10" t="s">
        <v>1104</v>
      </c>
      <c r="C868" s="10" t="s">
        <v>3152</v>
      </c>
      <c r="D868" s="10" t="s">
        <v>1136</v>
      </c>
      <c r="E868" s="10" t="s">
        <v>615</v>
      </c>
      <c r="F868" s="22" t="n">
        <f aca="false">Margin_Structure!T11</f>
        <v>96740</v>
      </c>
      <c r="G868" s="12" t="n">
        <v>96740</v>
      </c>
      <c r="H868" s="10" t="n">
        <f aca="false">F868-G868</f>
        <v>0</v>
      </c>
      <c r="I868" s="10" t="str">
        <f aca="false">IF(ABS(H868)&lt;=0.000001,"PASS","FAIL")</f>
        <v>PASS</v>
      </c>
      <c r="J868" s="10" t="s">
        <v>3153</v>
      </c>
    </row>
    <row r="869" customFormat="false" ht="15" hidden="false" customHeight="false" outlineLevel="0" collapsed="false">
      <c r="A869" s="10" t="s">
        <v>3154</v>
      </c>
      <c r="B869" s="10" t="s">
        <v>1104</v>
      </c>
      <c r="C869" s="10" t="s">
        <v>3155</v>
      </c>
      <c r="D869" s="10" t="s">
        <v>1136</v>
      </c>
      <c r="E869" s="10" t="s">
        <v>616</v>
      </c>
      <c r="F869" s="22" t="n">
        <f aca="false">Margin_Structure!W11</f>
        <v>86665</v>
      </c>
      <c r="G869" s="12" t="n">
        <v>86665</v>
      </c>
      <c r="H869" s="10" t="n">
        <f aca="false">F869-G869</f>
        <v>0</v>
      </c>
      <c r="I869" s="10" t="str">
        <f aca="false">IF(ABS(H869)&lt;=0.000001,"PASS","FAIL")</f>
        <v>PASS</v>
      </c>
      <c r="J869" s="10" t="s">
        <v>3156</v>
      </c>
    </row>
    <row r="870" customFormat="false" ht="15" hidden="false" customHeight="false" outlineLevel="0" collapsed="false">
      <c r="A870" s="10" t="s">
        <v>3157</v>
      </c>
      <c r="B870" s="10" t="s">
        <v>1104</v>
      </c>
      <c r="C870" s="10" t="s">
        <v>3158</v>
      </c>
      <c r="D870" s="10" t="s">
        <v>1136</v>
      </c>
      <c r="E870" s="10" t="s">
        <v>617</v>
      </c>
      <c r="F870" s="22" t="n">
        <f aca="false">Margin_Structure!Z11</f>
        <v>22466</v>
      </c>
      <c r="G870" s="12" t="n">
        <v>22466</v>
      </c>
      <c r="H870" s="10" t="n">
        <f aca="false">F870-G870</f>
        <v>0</v>
      </c>
      <c r="I870" s="10" t="str">
        <f aca="false">IF(ABS(H870)&lt;=0.000001,"PASS","FAIL")</f>
        <v>PASS</v>
      </c>
      <c r="J870" s="10" t="s">
        <v>3159</v>
      </c>
    </row>
    <row r="871" customFormat="false" ht="15" hidden="false" customHeight="false" outlineLevel="0" collapsed="false">
      <c r="A871" s="10" t="s">
        <v>3160</v>
      </c>
      <c r="B871" s="10" t="s">
        <v>1104</v>
      </c>
      <c r="C871" s="10" t="s">
        <v>3161</v>
      </c>
      <c r="D871" s="10" t="s">
        <v>1136</v>
      </c>
      <c r="E871" s="10" t="s">
        <v>618</v>
      </c>
      <c r="F871" s="22" t="n">
        <f aca="false">Margin_Structure!AC11</f>
        <v>14633</v>
      </c>
      <c r="G871" s="12" t="n">
        <v>14633</v>
      </c>
      <c r="H871" s="10" t="n">
        <f aca="false">F871-G871</f>
        <v>0</v>
      </c>
      <c r="I871" s="10" t="str">
        <f aca="false">IF(ABS(H871)&lt;=0.000001,"PASS","FAIL")</f>
        <v>PASS</v>
      </c>
      <c r="J871" s="10" t="s">
        <v>3162</v>
      </c>
    </row>
    <row r="872" customFormat="false" ht="15" hidden="false" customHeight="false" outlineLevel="0" collapsed="false">
      <c r="A872" s="10" t="s">
        <v>3163</v>
      </c>
      <c r="B872" s="10" t="s">
        <v>1104</v>
      </c>
      <c r="C872" s="10" t="s">
        <v>3164</v>
      </c>
      <c r="D872" s="10" t="s">
        <v>1136</v>
      </c>
      <c r="E872" s="10" t="s">
        <v>619</v>
      </c>
      <c r="F872" s="22" t="n">
        <f aca="false">Margin_Structure!AF11</f>
        <v>-46180</v>
      </c>
      <c r="G872" s="12" t="n">
        <v>-46180</v>
      </c>
      <c r="H872" s="10" t="n">
        <f aca="false">F872-G872</f>
        <v>0</v>
      </c>
      <c r="I872" s="10" t="str">
        <f aca="false">IF(ABS(H872)&lt;=0.000001,"PASS","FAIL")</f>
        <v>PASS</v>
      </c>
      <c r="J872" s="10" t="s">
        <v>3165</v>
      </c>
    </row>
    <row r="873" customFormat="false" ht="15" hidden="false" customHeight="false" outlineLevel="0" collapsed="false">
      <c r="A873" s="10" t="s">
        <v>3166</v>
      </c>
      <c r="B873" s="10" t="s">
        <v>1104</v>
      </c>
      <c r="C873" s="10" t="s">
        <v>3167</v>
      </c>
      <c r="D873" s="10" t="s">
        <v>1136</v>
      </c>
      <c r="E873" s="10" t="s">
        <v>159</v>
      </c>
      <c r="F873" s="22" t="n">
        <f aca="false">Margin_Structure!AI11</f>
        <v>-15358</v>
      </c>
      <c r="G873" s="12" t="n">
        <v>-15358</v>
      </c>
      <c r="H873" s="10" t="n">
        <f aca="false">F873-G873</f>
        <v>0</v>
      </c>
      <c r="I873" s="10" t="str">
        <f aca="false">IF(ABS(H873)&lt;=0.000001,"PASS","FAIL")</f>
        <v>PASS</v>
      </c>
      <c r="J873" s="10" t="s">
        <v>3168</v>
      </c>
    </row>
    <row r="874" customFormat="false" ht="15" hidden="false" customHeight="false" outlineLevel="0" collapsed="false">
      <c r="A874" s="10" t="s">
        <v>3169</v>
      </c>
      <c r="B874" s="10" t="s">
        <v>1104</v>
      </c>
      <c r="C874" s="10" t="s">
        <v>3170</v>
      </c>
      <c r="D874" s="10" t="s">
        <v>1136</v>
      </c>
      <c r="E874" s="10" t="s">
        <v>76</v>
      </c>
      <c r="F874" s="22" t="n">
        <f aca="false">Margin_Structure!E12</f>
        <v>136893</v>
      </c>
      <c r="G874" s="12" t="n">
        <v>136893</v>
      </c>
      <c r="H874" s="10" t="n">
        <f aca="false">F874-G874</f>
        <v>0</v>
      </c>
      <c r="I874" s="10" t="str">
        <f aca="false">IF(ABS(H874)&lt;=0.000001,"PASS","FAIL")</f>
        <v>PASS</v>
      </c>
      <c r="J874" s="10" t="s">
        <v>2484</v>
      </c>
    </row>
    <row r="875" customFormat="false" ht="15" hidden="false" customHeight="false" outlineLevel="0" collapsed="false">
      <c r="A875" s="10" t="s">
        <v>3171</v>
      </c>
      <c r="B875" s="10" t="s">
        <v>1104</v>
      </c>
      <c r="C875" s="10" t="s">
        <v>3172</v>
      </c>
      <c r="D875" s="10" t="s">
        <v>1136</v>
      </c>
      <c r="E875" s="10" t="s">
        <v>620</v>
      </c>
      <c r="F875" s="22" t="n">
        <f aca="false">Margin_Structure!H12</f>
        <v>119063</v>
      </c>
      <c r="G875" s="12" t="n">
        <v>119063</v>
      </c>
      <c r="H875" s="10" t="n">
        <f aca="false">F875-G875</f>
        <v>0</v>
      </c>
      <c r="I875" s="10" t="str">
        <f aca="false">IF(ABS(H875)&lt;=0.000001,"PASS","FAIL")</f>
        <v>PASS</v>
      </c>
      <c r="J875" s="10" t="s">
        <v>3173</v>
      </c>
    </row>
    <row r="876" customFormat="false" ht="15" hidden="false" customHeight="false" outlineLevel="0" collapsed="false">
      <c r="A876" s="10" t="s">
        <v>3174</v>
      </c>
      <c r="B876" s="10" t="s">
        <v>1104</v>
      </c>
      <c r="C876" s="10" t="s">
        <v>3175</v>
      </c>
      <c r="D876" s="10" t="s">
        <v>1136</v>
      </c>
      <c r="E876" s="10" t="s">
        <v>621</v>
      </c>
      <c r="F876" s="22" t="n">
        <f aca="false">Margin_Structure!K12</f>
        <v>121746</v>
      </c>
      <c r="G876" s="12" t="n">
        <v>121746</v>
      </c>
      <c r="H876" s="10" t="n">
        <f aca="false">F876-G876</f>
        <v>0</v>
      </c>
      <c r="I876" s="10" t="str">
        <f aca="false">IF(ABS(H876)&lt;=0.000001,"PASS","FAIL")</f>
        <v>PASS</v>
      </c>
      <c r="J876" s="10" t="s">
        <v>3176</v>
      </c>
    </row>
    <row r="877" customFormat="false" ht="15" hidden="false" customHeight="false" outlineLevel="0" collapsed="false">
      <c r="A877" s="10" t="s">
        <v>3177</v>
      </c>
      <c r="B877" s="10" t="s">
        <v>1104</v>
      </c>
      <c r="C877" s="10" t="s">
        <v>3178</v>
      </c>
      <c r="D877" s="10" t="s">
        <v>1136</v>
      </c>
      <c r="E877" s="10" t="s">
        <v>622</v>
      </c>
      <c r="F877" s="22" t="n">
        <f aca="false">Margin_Structure!N12</f>
        <v>33984</v>
      </c>
      <c r="G877" s="12" t="n">
        <v>33984</v>
      </c>
      <c r="H877" s="10" t="n">
        <f aca="false">F877-G877</f>
        <v>0</v>
      </c>
      <c r="I877" s="10" t="str">
        <f aca="false">IF(ABS(H877)&lt;=0.000001,"PASS","FAIL")</f>
        <v>PASS</v>
      </c>
      <c r="J877" s="10" t="s">
        <v>3179</v>
      </c>
    </row>
    <row r="878" customFormat="false" ht="15" hidden="false" customHeight="false" outlineLevel="0" collapsed="false">
      <c r="A878" s="10" t="s">
        <v>3180</v>
      </c>
      <c r="B878" s="10" t="s">
        <v>1104</v>
      </c>
      <c r="C878" s="10" t="s">
        <v>3181</v>
      </c>
      <c r="D878" s="10" t="s">
        <v>1136</v>
      </c>
      <c r="E878" s="10" t="s">
        <v>623</v>
      </c>
      <c r="F878" s="22" t="n">
        <f aca="false">Margin_Structure!Q12</f>
        <v>26259</v>
      </c>
      <c r="G878" s="12" t="n">
        <v>26259</v>
      </c>
      <c r="H878" s="10" t="n">
        <f aca="false">F878-G878</f>
        <v>0</v>
      </c>
      <c r="I878" s="10" t="str">
        <f aca="false">IF(ABS(H878)&lt;=0.000001,"PASS","FAIL")</f>
        <v>PASS</v>
      </c>
      <c r="J878" s="10" t="s">
        <v>3182</v>
      </c>
    </row>
    <row r="879" customFormat="false" ht="15" hidden="false" customHeight="false" outlineLevel="0" collapsed="false">
      <c r="A879" s="10" t="s">
        <v>3183</v>
      </c>
      <c r="B879" s="10" t="s">
        <v>1104</v>
      </c>
      <c r="C879" s="10" t="s">
        <v>3184</v>
      </c>
      <c r="D879" s="10" t="s">
        <v>1136</v>
      </c>
      <c r="E879" s="10" t="s">
        <v>624</v>
      </c>
      <c r="F879" s="22" t="n">
        <f aca="false">Margin_Structure!T12</f>
        <v>90970</v>
      </c>
      <c r="G879" s="12" t="n">
        <v>90970</v>
      </c>
      <c r="H879" s="10" t="n">
        <f aca="false">F879-G879</f>
        <v>0</v>
      </c>
      <c r="I879" s="10" t="str">
        <f aca="false">IF(ABS(H879)&lt;=0.000001,"PASS","FAIL")</f>
        <v>PASS</v>
      </c>
      <c r="J879" s="10" t="s">
        <v>3185</v>
      </c>
    </row>
    <row r="880" customFormat="false" ht="15" hidden="false" customHeight="false" outlineLevel="0" collapsed="false">
      <c r="A880" s="10" t="s">
        <v>3186</v>
      </c>
      <c r="B880" s="10" t="s">
        <v>1104</v>
      </c>
      <c r="C880" s="10" t="s">
        <v>3187</v>
      </c>
      <c r="D880" s="10" t="s">
        <v>1136</v>
      </c>
      <c r="E880" s="10" t="s">
        <v>625</v>
      </c>
      <c r="F880" s="22" t="n">
        <f aca="false">Margin_Structure!W12</f>
        <v>82432</v>
      </c>
      <c r="G880" s="12" t="n">
        <v>82432</v>
      </c>
      <c r="H880" s="10" t="n">
        <f aca="false">F880-G880</f>
        <v>0</v>
      </c>
      <c r="I880" s="10" t="str">
        <f aca="false">IF(ABS(H880)&lt;=0.000001,"PASS","FAIL")</f>
        <v>PASS</v>
      </c>
      <c r="J880" s="10" t="s">
        <v>3188</v>
      </c>
    </row>
    <row r="881" customFormat="false" ht="15" hidden="false" customHeight="false" outlineLevel="0" collapsed="false">
      <c r="A881" s="10" t="s">
        <v>3189</v>
      </c>
      <c r="B881" s="10" t="s">
        <v>1104</v>
      </c>
      <c r="C881" s="10" t="s">
        <v>3190</v>
      </c>
      <c r="D881" s="10" t="s">
        <v>1136</v>
      </c>
      <c r="E881" s="10" t="s">
        <v>626</v>
      </c>
      <c r="F881" s="22" t="n">
        <f aca="false">Margin_Structure!Z12</f>
        <v>22348</v>
      </c>
      <c r="G881" s="12" t="n">
        <v>22348</v>
      </c>
      <c r="H881" s="10" t="n">
        <f aca="false">F881-G881</f>
        <v>0</v>
      </c>
      <c r="I881" s="10" t="str">
        <f aca="false">IF(ABS(H881)&lt;=0.000001,"PASS","FAIL")</f>
        <v>PASS</v>
      </c>
      <c r="J881" s="10" t="s">
        <v>3191</v>
      </c>
    </row>
    <row r="882" customFormat="false" ht="15" hidden="false" customHeight="false" outlineLevel="0" collapsed="false">
      <c r="A882" s="10" t="s">
        <v>3192</v>
      </c>
      <c r="B882" s="10" t="s">
        <v>1104</v>
      </c>
      <c r="C882" s="10" t="s">
        <v>3193</v>
      </c>
      <c r="D882" s="10" t="s">
        <v>1136</v>
      </c>
      <c r="E882" s="10" t="s">
        <v>627</v>
      </c>
      <c r="F882" s="22" t="n">
        <f aca="false">Margin_Structure!AC12</f>
        <v>15240</v>
      </c>
      <c r="G882" s="12" t="n">
        <v>15240</v>
      </c>
      <c r="H882" s="10" t="n">
        <f aca="false">F882-G882</f>
        <v>0</v>
      </c>
      <c r="I882" s="10" t="str">
        <f aca="false">IF(ABS(H882)&lt;=0.000001,"PASS","FAIL")</f>
        <v>PASS</v>
      </c>
      <c r="J882" s="10" t="s">
        <v>3194</v>
      </c>
    </row>
    <row r="883" customFormat="false" ht="15" hidden="false" customHeight="false" outlineLevel="0" collapsed="false">
      <c r="A883" s="10" t="s">
        <v>3195</v>
      </c>
      <c r="B883" s="10" t="s">
        <v>1104</v>
      </c>
      <c r="C883" s="10" t="s">
        <v>3196</v>
      </c>
      <c r="D883" s="10" t="s">
        <v>1136</v>
      </c>
      <c r="E883" s="10" t="s">
        <v>628</v>
      </c>
      <c r="F883" s="22" t="n">
        <f aca="false">Margin_Structure!AF12</f>
        <v>-28239</v>
      </c>
      <c r="G883" s="12" t="n">
        <v>-28239</v>
      </c>
      <c r="H883" s="10" t="n">
        <f aca="false">F883-G883</f>
        <v>0</v>
      </c>
      <c r="I883" s="10" t="str">
        <f aca="false">IF(ABS(H883)&lt;=0.000001,"PASS","FAIL")</f>
        <v>PASS</v>
      </c>
      <c r="J883" s="10" t="s">
        <v>3197</v>
      </c>
    </row>
    <row r="884" customFormat="false" ht="15" hidden="false" customHeight="false" outlineLevel="0" collapsed="false">
      <c r="A884" s="10" t="s">
        <v>3198</v>
      </c>
      <c r="B884" s="10" t="s">
        <v>1104</v>
      </c>
      <c r="C884" s="10" t="s">
        <v>3199</v>
      </c>
      <c r="D884" s="10" t="s">
        <v>1136</v>
      </c>
      <c r="E884" s="10" t="s">
        <v>161</v>
      </c>
      <c r="F884" s="22" t="n">
        <f aca="false">Margin_Structure!AI12</f>
        <v>-2185</v>
      </c>
      <c r="G884" s="12" t="n">
        <v>-2185</v>
      </c>
      <c r="H884" s="10" t="n">
        <f aca="false">F884-G884</f>
        <v>0</v>
      </c>
      <c r="I884" s="10" t="str">
        <f aca="false">IF(ABS(H884)&lt;=0.000001,"PASS","FAIL")</f>
        <v>PASS</v>
      </c>
      <c r="J884" s="10" t="s">
        <v>3200</v>
      </c>
    </row>
    <row r="885" customFormat="false" ht="15" hidden="false" customHeight="false" outlineLevel="0" collapsed="false">
      <c r="A885" s="10" t="s">
        <v>3201</v>
      </c>
      <c r="B885" s="10" t="s">
        <v>1104</v>
      </c>
      <c r="C885" s="10" t="s">
        <v>3202</v>
      </c>
      <c r="D885" s="10" t="s">
        <v>1136</v>
      </c>
      <c r="E885" s="10" t="s">
        <v>80</v>
      </c>
      <c r="F885" s="22" t="n">
        <f aca="false">Margin_Structure!E13</f>
        <v>149921</v>
      </c>
      <c r="G885" s="12" t="n">
        <v>149921</v>
      </c>
      <c r="H885" s="10" t="n">
        <f aca="false">F885-G885</f>
        <v>0</v>
      </c>
      <c r="I885" s="10" t="str">
        <f aca="false">IF(ABS(H885)&lt;=0.000001,"PASS","FAIL")</f>
        <v>PASS</v>
      </c>
      <c r="J885" s="10" t="s">
        <v>2502</v>
      </c>
    </row>
    <row r="886" customFormat="false" ht="15" hidden="false" customHeight="false" outlineLevel="0" collapsed="false">
      <c r="A886" s="10" t="s">
        <v>3203</v>
      </c>
      <c r="B886" s="10" t="s">
        <v>1104</v>
      </c>
      <c r="C886" s="10" t="s">
        <v>3204</v>
      </c>
      <c r="D886" s="10" t="s">
        <v>1136</v>
      </c>
      <c r="E886" s="10" t="s">
        <v>629</v>
      </c>
      <c r="F886" s="22" t="n">
        <f aca="false">Margin_Structure!H13</f>
        <v>132562</v>
      </c>
      <c r="G886" s="12" t="n">
        <v>132562</v>
      </c>
      <c r="H886" s="10" t="n">
        <f aca="false">F886-G886</f>
        <v>0</v>
      </c>
      <c r="I886" s="10" t="str">
        <f aca="false">IF(ABS(H886)&lt;=0.000001,"PASS","FAIL")</f>
        <v>PASS</v>
      </c>
      <c r="J886" s="10" t="s">
        <v>3205</v>
      </c>
    </row>
    <row r="887" customFormat="false" ht="15" hidden="false" customHeight="false" outlineLevel="0" collapsed="false">
      <c r="A887" s="10" t="s">
        <v>3206</v>
      </c>
      <c r="B887" s="10" t="s">
        <v>1104</v>
      </c>
      <c r="C887" s="10" t="s">
        <v>3207</v>
      </c>
      <c r="D887" s="10" t="s">
        <v>1136</v>
      </c>
      <c r="E887" s="10" t="s">
        <v>630</v>
      </c>
      <c r="F887" s="22" t="n">
        <f aca="false">Margin_Structure!K13</f>
        <v>134929</v>
      </c>
      <c r="G887" s="12" t="n">
        <v>134929</v>
      </c>
      <c r="H887" s="10" t="n">
        <f aca="false">F887-G887</f>
        <v>0</v>
      </c>
      <c r="I887" s="10" t="str">
        <f aca="false">IF(ABS(H887)&lt;=0.000001,"PASS","FAIL")</f>
        <v>PASS</v>
      </c>
      <c r="J887" s="10" t="s">
        <v>3208</v>
      </c>
    </row>
    <row r="888" customFormat="false" ht="15" hidden="false" customHeight="false" outlineLevel="0" collapsed="false">
      <c r="A888" s="10" t="s">
        <v>3209</v>
      </c>
      <c r="B888" s="10" t="s">
        <v>1104</v>
      </c>
      <c r="C888" s="10" t="s">
        <v>3210</v>
      </c>
      <c r="D888" s="10" t="s">
        <v>1136</v>
      </c>
      <c r="E888" s="10" t="s">
        <v>631</v>
      </c>
      <c r="F888" s="22" t="n">
        <f aca="false">Margin_Structure!N13</f>
        <v>32560</v>
      </c>
      <c r="G888" s="12" t="n">
        <v>32560</v>
      </c>
      <c r="H888" s="10" t="n">
        <f aca="false">F888-G888</f>
        <v>0</v>
      </c>
      <c r="I888" s="10" t="str">
        <f aca="false">IF(ABS(H888)&lt;=0.000001,"PASS","FAIL")</f>
        <v>PASS</v>
      </c>
      <c r="J888" s="10" t="s">
        <v>3211</v>
      </c>
    </row>
    <row r="889" customFormat="false" ht="15" hidden="false" customHeight="false" outlineLevel="0" collapsed="false">
      <c r="A889" s="10" t="s">
        <v>3212</v>
      </c>
      <c r="B889" s="10" t="s">
        <v>1104</v>
      </c>
      <c r="C889" s="10" t="s">
        <v>3213</v>
      </c>
      <c r="D889" s="10" t="s">
        <v>1136</v>
      </c>
      <c r="E889" s="10" t="s">
        <v>632</v>
      </c>
      <c r="F889" s="22" t="n">
        <f aca="false">Margin_Structure!Q13</f>
        <v>24715</v>
      </c>
      <c r="G889" s="12" t="n">
        <v>24715</v>
      </c>
      <c r="H889" s="10" t="n">
        <f aca="false">F889-G889</f>
        <v>0</v>
      </c>
      <c r="I889" s="10" t="str">
        <f aca="false">IF(ABS(H889)&lt;=0.000001,"PASS","FAIL")</f>
        <v>PASS</v>
      </c>
      <c r="J889" s="10" t="s">
        <v>3214</v>
      </c>
    </row>
    <row r="890" customFormat="false" ht="15" hidden="false" customHeight="false" outlineLevel="0" collapsed="false">
      <c r="A890" s="10" t="s">
        <v>3215</v>
      </c>
      <c r="B890" s="10" t="s">
        <v>1104</v>
      </c>
      <c r="C890" s="10" t="s">
        <v>3216</v>
      </c>
      <c r="D890" s="10" t="s">
        <v>1136</v>
      </c>
      <c r="E890" s="10" t="s">
        <v>633</v>
      </c>
      <c r="F890" s="22" t="n">
        <f aca="false">Margin_Structure!T13</f>
        <v>88385</v>
      </c>
      <c r="G890" s="12" t="n">
        <v>88385</v>
      </c>
      <c r="H890" s="10" t="n">
        <f aca="false">F890-G890</f>
        <v>0</v>
      </c>
      <c r="I890" s="10" t="str">
        <f aca="false">IF(ABS(H890)&lt;=0.000001,"PASS","FAIL")</f>
        <v>PASS</v>
      </c>
      <c r="J890" s="10" t="s">
        <v>3217</v>
      </c>
    </row>
    <row r="891" customFormat="false" ht="15" hidden="false" customHeight="false" outlineLevel="0" collapsed="false">
      <c r="A891" s="10" t="s">
        <v>3218</v>
      </c>
      <c r="B891" s="10" t="s">
        <v>1104</v>
      </c>
      <c r="C891" s="10" t="s">
        <v>3219</v>
      </c>
      <c r="D891" s="10" t="s">
        <v>1136</v>
      </c>
      <c r="E891" s="10" t="s">
        <v>634</v>
      </c>
      <c r="F891" s="22" t="n">
        <f aca="false">Margin_Structure!W13</f>
        <v>80919</v>
      </c>
      <c r="G891" s="12" t="n">
        <v>80919</v>
      </c>
      <c r="H891" s="10" t="n">
        <f aca="false">F891-G891</f>
        <v>0</v>
      </c>
      <c r="I891" s="10" t="str">
        <f aca="false">IF(ABS(H891)&lt;=0.000001,"PASS","FAIL")</f>
        <v>PASS</v>
      </c>
      <c r="J891" s="10" t="s">
        <v>3220</v>
      </c>
    </row>
    <row r="892" customFormat="false" ht="15" hidden="false" customHeight="false" outlineLevel="0" collapsed="false">
      <c r="A892" s="10" t="s">
        <v>3221</v>
      </c>
      <c r="B892" s="10" t="s">
        <v>1104</v>
      </c>
      <c r="C892" s="10" t="s">
        <v>3222</v>
      </c>
      <c r="D892" s="10" t="s">
        <v>1136</v>
      </c>
      <c r="E892" s="10" t="s">
        <v>635</v>
      </c>
      <c r="F892" s="22" t="n">
        <f aca="false">Margin_Structure!Z13</f>
        <v>21717</v>
      </c>
      <c r="G892" s="12" t="n">
        <v>21717</v>
      </c>
      <c r="H892" s="10" t="n">
        <f aca="false">F892-G892</f>
        <v>0</v>
      </c>
      <c r="I892" s="10" t="str">
        <f aca="false">IF(ABS(H892)&lt;=0.000001,"PASS","FAIL")</f>
        <v>PASS</v>
      </c>
      <c r="J892" s="10" t="s">
        <v>3223</v>
      </c>
    </row>
    <row r="893" customFormat="false" ht="15" hidden="false" customHeight="false" outlineLevel="0" collapsed="false">
      <c r="A893" s="10" t="s">
        <v>3224</v>
      </c>
      <c r="B893" s="10" t="s">
        <v>1104</v>
      </c>
      <c r="C893" s="10" t="s">
        <v>3225</v>
      </c>
      <c r="D893" s="10" t="s">
        <v>1136</v>
      </c>
      <c r="E893" s="10" t="s">
        <v>636</v>
      </c>
      <c r="F893" s="22" t="n">
        <f aca="false">Margin_Structure!AC13</f>
        <v>15017</v>
      </c>
      <c r="G893" s="12" t="n">
        <v>15017</v>
      </c>
      <c r="H893" s="10" t="n">
        <f aca="false">F893-G893</f>
        <v>0</v>
      </c>
      <c r="I893" s="10" t="str">
        <f aca="false">IF(ABS(H893)&lt;=0.000001,"PASS","FAIL")</f>
        <v>PASS</v>
      </c>
      <c r="J893" s="10" t="s">
        <v>3226</v>
      </c>
    </row>
    <row r="894" customFormat="false" ht="15" hidden="false" customHeight="false" outlineLevel="0" collapsed="false">
      <c r="A894" s="10" t="s">
        <v>3227</v>
      </c>
      <c r="B894" s="10" t="s">
        <v>1104</v>
      </c>
      <c r="C894" s="10" t="s">
        <v>3228</v>
      </c>
      <c r="D894" s="10" t="s">
        <v>1136</v>
      </c>
      <c r="E894" s="10" t="s">
        <v>637</v>
      </c>
      <c r="F894" s="22" t="n">
        <f aca="false">Margin_Structure!AF13</f>
        <v>-10100</v>
      </c>
      <c r="G894" s="12" t="n">
        <v>-10100</v>
      </c>
      <c r="H894" s="10" t="n">
        <f aca="false">F894-G894</f>
        <v>0</v>
      </c>
      <c r="I894" s="10" t="str">
        <f aca="false">IF(ABS(H894)&lt;=0.000001,"PASS","FAIL")</f>
        <v>PASS</v>
      </c>
      <c r="J894" s="10" t="s">
        <v>3229</v>
      </c>
    </row>
    <row r="895" customFormat="false" ht="15" hidden="false" customHeight="false" outlineLevel="0" collapsed="false">
      <c r="A895" s="10" t="s">
        <v>3230</v>
      </c>
      <c r="B895" s="10" t="s">
        <v>1104</v>
      </c>
      <c r="C895" s="10" t="s">
        <v>3231</v>
      </c>
      <c r="D895" s="10" t="s">
        <v>1136</v>
      </c>
      <c r="E895" s="10" t="s">
        <v>163</v>
      </c>
      <c r="F895" s="22" t="n">
        <f aca="false">Margin_Structure!AI13</f>
        <v>14278</v>
      </c>
      <c r="G895" s="12" t="n">
        <v>14278</v>
      </c>
      <c r="H895" s="10" t="n">
        <f aca="false">F895-G895</f>
        <v>0</v>
      </c>
      <c r="I895" s="10" t="str">
        <f aca="false">IF(ABS(H895)&lt;=0.000001,"PASS","FAIL")</f>
        <v>PASS</v>
      </c>
      <c r="J895" s="10" t="s">
        <v>3232</v>
      </c>
    </row>
    <row r="896" customFormat="false" ht="15" hidden="false" customHeight="false" outlineLevel="0" collapsed="false">
      <c r="A896" s="10" t="s">
        <v>3233</v>
      </c>
      <c r="B896" s="10" t="s">
        <v>1104</v>
      </c>
      <c r="C896" s="10" t="s">
        <v>3234</v>
      </c>
      <c r="D896" s="10" t="s">
        <v>1136</v>
      </c>
      <c r="E896" s="10" t="s">
        <v>85</v>
      </c>
      <c r="F896" s="22" t="n">
        <f aca="false">Margin_Structure!E14</f>
        <v>162256</v>
      </c>
      <c r="G896" s="12" t="n">
        <v>162256</v>
      </c>
      <c r="H896" s="10" t="n">
        <f aca="false">F896-G896</f>
        <v>0</v>
      </c>
      <c r="I896" s="10" t="str">
        <f aca="false">IF(ABS(H896)&lt;=0.000001,"PASS","FAIL")</f>
        <v>PASS</v>
      </c>
      <c r="J896" s="10" t="s">
        <v>2523</v>
      </c>
    </row>
    <row r="897" customFormat="false" ht="15" hidden="false" customHeight="false" outlineLevel="0" collapsed="false">
      <c r="A897" s="10" t="s">
        <v>3235</v>
      </c>
      <c r="B897" s="10" t="s">
        <v>1104</v>
      </c>
      <c r="C897" s="10" t="s">
        <v>3236</v>
      </c>
      <c r="D897" s="10" t="s">
        <v>1136</v>
      </c>
      <c r="E897" s="10" t="s">
        <v>638</v>
      </c>
      <c r="F897" s="22" t="n">
        <f aca="false">Margin_Structure!H14</f>
        <v>145242</v>
      </c>
      <c r="G897" s="12" t="n">
        <v>145242</v>
      </c>
      <c r="H897" s="10" t="n">
        <f aca="false">F897-G897</f>
        <v>0</v>
      </c>
      <c r="I897" s="10" t="str">
        <f aca="false">IF(ABS(H897)&lt;=0.000001,"PASS","FAIL")</f>
        <v>PASS</v>
      </c>
      <c r="J897" s="10" t="s">
        <v>3237</v>
      </c>
    </row>
    <row r="898" customFormat="false" ht="15" hidden="false" customHeight="false" outlineLevel="0" collapsed="false">
      <c r="A898" s="10" t="s">
        <v>3238</v>
      </c>
      <c r="B898" s="10" t="s">
        <v>1104</v>
      </c>
      <c r="C898" s="10" t="s">
        <v>3239</v>
      </c>
      <c r="D898" s="10" t="s">
        <v>1136</v>
      </c>
      <c r="E898" s="10" t="s">
        <v>639</v>
      </c>
      <c r="F898" s="22" t="n">
        <f aca="false">Margin_Structure!K14</f>
        <v>146719</v>
      </c>
      <c r="G898" s="12" t="n">
        <v>146719</v>
      </c>
      <c r="H898" s="10" t="n">
        <f aca="false">F898-G898</f>
        <v>0</v>
      </c>
      <c r="I898" s="10" t="str">
        <f aca="false">IF(ABS(H898)&lt;=0.000001,"PASS","FAIL")</f>
        <v>PASS</v>
      </c>
      <c r="J898" s="10" t="s">
        <v>3240</v>
      </c>
    </row>
    <row r="899" customFormat="false" ht="15" hidden="false" customHeight="false" outlineLevel="0" collapsed="false">
      <c r="A899" s="10" t="s">
        <v>3241</v>
      </c>
      <c r="B899" s="10" t="s">
        <v>1104</v>
      </c>
      <c r="C899" s="10" t="s">
        <v>3242</v>
      </c>
      <c r="D899" s="10" t="s">
        <v>1136</v>
      </c>
      <c r="E899" s="10" t="s">
        <v>640</v>
      </c>
      <c r="F899" s="22" t="n">
        <f aca="false">Margin_Structure!N14</f>
        <v>37063</v>
      </c>
      <c r="G899" s="12" t="n">
        <v>37063</v>
      </c>
      <c r="H899" s="10" t="n">
        <f aca="false">F899-G899</f>
        <v>0</v>
      </c>
      <c r="I899" s="10" t="str">
        <f aca="false">IF(ABS(H899)&lt;=0.000001,"PASS","FAIL")</f>
        <v>PASS</v>
      </c>
      <c r="J899" s="10" t="s">
        <v>3243</v>
      </c>
    </row>
    <row r="900" customFormat="false" ht="15" hidden="false" customHeight="false" outlineLevel="0" collapsed="false">
      <c r="A900" s="10" t="s">
        <v>3244</v>
      </c>
      <c r="B900" s="10" t="s">
        <v>1104</v>
      </c>
      <c r="C900" s="10" t="s">
        <v>3245</v>
      </c>
      <c r="D900" s="10" t="s">
        <v>1136</v>
      </c>
      <c r="E900" s="10" t="s">
        <v>641</v>
      </c>
      <c r="F900" s="22" t="n">
        <f aca="false">Margin_Structure!Q14</f>
        <v>28519</v>
      </c>
      <c r="G900" s="12" t="n">
        <v>28519</v>
      </c>
      <c r="H900" s="10" t="n">
        <f aca="false">F900-G900</f>
        <v>0</v>
      </c>
      <c r="I900" s="10" t="str">
        <f aca="false">IF(ABS(H900)&lt;=0.000001,"PASS","FAIL")</f>
        <v>PASS</v>
      </c>
      <c r="J900" s="10" t="s">
        <v>3246</v>
      </c>
    </row>
    <row r="901" customFormat="false" ht="15" hidden="false" customHeight="false" outlineLevel="0" collapsed="false">
      <c r="A901" s="10" t="s">
        <v>3247</v>
      </c>
      <c r="B901" s="10" t="s">
        <v>1104</v>
      </c>
      <c r="C901" s="10" t="s">
        <v>3248</v>
      </c>
      <c r="D901" s="10" t="s">
        <v>1136</v>
      </c>
      <c r="E901" s="10" t="s">
        <v>642</v>
      </c>
      <c r="F901" s="22" t="n">
        <f aca="false">Margin_Structure!T14</f>
        <v>107680</v>
      </c>
      <c r="G901" s="12" t="n">
        <v>107680</v>
      </c>
      <c r="H901" s="10" t="n">
        <f aca="false">F901-G901</f>
        <v>0</v>
      </c>
      <c r="I901" s="10" t="str">
        <f aca="false">IF(ABS(H901)&lt;=0.000001,"PASS","FAIL")</f>
        <v>PASS</v>
      </c>
      <c r="J901" s="10" t="s">
        <v>3249</v>
      </c>
    </row>
    <row r="902" customFormat="false" ht="15" hidden="false" customHeight="false" outlineLevel="0" collapsed="false">
      <c r="A902" s="10" t="s">
        <v>3250</v>
      </c>
      <c r="B902" s="10" t="s">
        <v>1104</v>
      </c>
      <c r="C902" s="10" t="s">
        <v>3251</v>
      </c>
      <c r="D902" s="10" t="s">
        <v>1136</v>
      </c>
      <c r="E902" s="10" t="s">
        <v>643</v>
      </c>
      <c r="F902" s="22" t="n">
        <f aca="false">Margin_Structure!W14</f>
        <v>102652</v>
      </c>
      <c r="G902" s="12" t="n">
        <v>102652</v>
      </c>
      <c r="H902" s="10" t="n">
        <f aca="false">F902-G902</f>
        <v>0</v>
      </c>
      <c r="I902" s="10" t="str">
        <f aca="false">IF(ABS(H902)&lt;=0.000001,"PASS","FAIL")</f>
        <v>PASS</v>
      </c>
      <c r="J902" s="10" t="s">
        <v>3252</v>
      </c>
    </row>
    <row r="903" customFormat="false" ht="15" hidden="false" customHeight="false" outlineLevel="0" collapsed="false">
      <c r="A903" s="10" t="s">
        <v>3253</v>
      </c>
      <c r="B903" s="10" t="s">
        <v>1104</v>
      </c>
      <c r="C903" s="10" t="s">
        <v>3254</v>
      </c>
      <c r="D903" s="10" t="s">
        <v>1136</v>
      </c>
      <c r="E903" s="10" t="s">
        <v>644</v>
      </c>
      <c r="F903" s="22" t="n">
        <f aca="false">Margin_Structure!Z14</f>
        <v>23251</v>
      </c>
      <c r="G903" s="12" t="n">
        <v>23251</v>
      </c>
      <c r="H903" s="10" t="n">
        <f aca="false">F903-G903</f>
        <v>0</v>
      </c>
      <c r="I903" s="10" t="str">
        <f aca="false">IF(ABS(H903)&lt;=0.000001,"PASS","FAIL")</f>
        <v>PASS</v>
      </c>
      <c r="J903" s="10" t="s">
        <v>3255</v>
      </c>
    </row>
    <row r="904" customFormat="false" ht="15" hidden="false" customHeight="false" outlineLevel="0" collapsed="false">
      <c r="A904" s="10" t="s">
        <v>3256</v>
      </c>
      <c r="B904" s="10" t="s">
        <v>1104</v>
      </c>
      <c r="C904" s="10" t="s">
        <v>3257</v>
      </c>
      <c r="D904" s="10" t="s">
        <v>1136</v>
      </c>
      <c r="E904" s="10" t="s">
        <v>645</v>
      </c>
      <c r="F904" s="22" t="n">
        <f aca="false">Margin_Structure!AC14</f>
        <v>15841</v>
      </c>
      <c r="G904" s="12" t="n">
        <v>15841</v>
      </c>
      <c r="H904" s="10" t="n">
        <f aca="false">F904-G904</f>
        <v>0</v>
      </c>
      <c r="I904" s="10" t="str">
        <f aca="false">IF(ABS(H904)&lt;=0.000001,"PASS","FAIL")</f>
        <v>PASS</v>
      </c>
      <c r="J904" s="10" t="s">
        <v>3258</v>
      </c>
    </row>
    <row r="905" customFormat="false" ht="15" hidden="false" customHeight="false" outlineLevel="0" collapsed="false">
      <c r="A905" s="10" t="s">
        <v>3259</v>
      </c>
      <c r="B905" s="10" t="s">
        <v>1104</v>
      </c>
      <c r="C905" s="10" t="s">
        <v>3260</v>
      </c>
      <c r="D905" s="10" t="s">
        <v>1136</v>
      </c>
      <c r="E905" s="10" t="s">
        <v>646</v>
      </c>
      <c r="F905" s="22" t="n">
        <f aca="false">Margin_Structure!AF14</f>
        <v>-22752</v>
      </c>
      <c r="G905" s="12" t="n">
        <v>-22752</v>
      </c>
      <c r="H905" s="10" t="n">
        <f aca="false">F905-G905</f>
        <v>0</v>
      </c>
      <c r="I905" s="10" t="str">
        <f aca="false">IF(ABS(H905)&lt;=0.000001,"PASS","FAIL")</f>
        <v>PASS</v>
      </c>
      <c r="J905" s="10" t="s">
        <v>3261</v>
      </c>
    </row>
    <row r="906" customFormat="false" ht="15" hidden="false" customHeight="false" outlineLevel="0" collapsed="false">
      <c r="A906" s="10" t="s">
        <v>3262</v>
      </c>
      <c r="B906" s="10" t="s">
        <v>1104</v>
      </c>
      <c r="C906" s="10" t="s">
        <v>3263</v>
      </c>
      <c r="D906" s="10" t="s">
        <v>1136</v>
      </c>
      <c r="E906" s="10" t="s">
        <v>165</v>
      </c>
      <c r="F906" s="22" t="n">
        <f aca="false">Margin_Structure!AI14</f>
        <v>-293</v>
      </c>
      <c r="G906" s="12" t="n">
        <v>-293</v>
      </c>
      <c r="H906" s="10" t="n">
        <f aca="false">F906-G906</f>
        <v>0</v>
      </c>
      <c r="I906" s="10" t="str">
        <f aca="false">IF(ABS(H906)&lt;=0.000001,"PASS","FAIL")</f>
        <v>PASS</v>
      </c>
      <c r="J906" s="10" t="s">
        <v>3264</v>
      </c>
    </row>
    <row r="907" customFormat="false" ht="15" hidden="false" customHeight="false" outlineLevel="0" collapsed="false">
      <c r="A907" s="10" t="s">
        <v>3265</v>
      </c>
      <c r="B907" s="10" t="s">
        <v>1104</v>
      </c>
      <c r="C907" s="10" t="s">
        <v>3266</v>
      </c>
      <c r="D907" s="10" t="s">
        <v>1136</v>
      </c>
      <c r="E907" s="10" t="s">
        <v>90</v>
      </c>
      <c r="F907" s="22" t="n">
        <f aca="false">Margin_Structure!E15</f>
        <v>175679</v>
      </c>
      <c r="G907" s="12" t="n">
        <v>175679</v>
      </c>
      <c r="H907" s="10" t="n">
        <f aca="false">F907-G907</f>
        <v>0</v>
      </c>
      <c r="I907" s="10" t="str">
        <f aca="false">IF(ABS(H907)&lt;=0.000001,"PASS","FAIL")</f>
        <v>PASS</v>
      </c>
      <c r="J907" s="10" t="s">
        <v>2547</v>
      </c>
    </row>
    <row r="908" customFormat="false" ht="15" hidden="false" customHeight="false" outlineLevel="0" collapsed="false">
      <c r="A908" s="10" t="s">
        <v>3267</v>
      </c>
      <c r="B908" s="10" t="s">
        <v>1104</v>
      </c>
      <c r="C908" s="10" t="s">
        <v>3268</v>
      </c>
      <c r="D908" s="10" t="s">
        <v>1136</v>
      </c>
      <c r="E908" s="10" t="s">
        <v>647</v>
      </c>
      <c r="F908" s="22" t="n">
        <f aca="false">Margin_Structure!H15</f>
        <v>156163</v>
      </c>
      <c r="G908" s="12" t="n">
        <v>156163</v>
      </c>
      <c r="H908" s="10" t="n">
        <f aca="false">F908-G908</f>
        <v>0</v>
      </c>
      <c r="I908" s="10" t="str">
        <f aca="false">IF(ABS(H908)&lt;=0.000001,"PASS","FAIL")</f>
        <v>PASS</v>
      </c>
      <c r="J908" s="10" t="s">
        <v>3269</v>
      </c>
    </row>
    <row r="909" customFormat="false" ht="15" hidden="false" customHeight="false" outlineLevel="0" collapsed="false">
      <c r="A909" s="10" t="s">
        <v>3270</v>
      </c>
      <c r="B909" s="10" t="s">
        <v>1104</v>
      </c>
      <c r="C909" s="10" t="s">
        <v>3271</v>
      </c>
      <c r="D909" s="10" t="s">
        <v>1136</v>
      </c>
      <c r="E909" s="10" t="s">
        <v>648</v>
      </c>
      <c r="F909" s="22" t="n">
        <f aca="false">Margin_Structure!K15</f>
        <v>158008</v>
      </c>
      <c r="G909" s="12" t="n">
        <v>158008</v>
      </c>
      <c r="H909" s="10" t="n">
        <f aca="false">F909-G909</f>
        <v>0</v>
      </c>
      <c r="I909" s="10" t="str">
        <f aca="false">IF(ABS(H909)&lt;=0.000001,"PASS","FAIL")</f>
        <v>PASS</v>
      </c>
      <c r="J909" s="10" t="s">
        <v>3272</v>
      </c>
    </row>
    <row r="910" customFormat="false" ht="15" hidden="false" customHeight="false" outlineLevel="0" collapsed="false">
      <c r="A910" s="10" t="s">
        <v>3273</v>
      </c>
      <c r="B910" s="10" t="s">
        <v>1104</v>
      </c>
      <c r="C910" s="10" t="s">
        <v>3274</v>
      </c>
      <c r="D910" s="10" t="s">
        <v>1136</v>
      </c>
      <c r="E910" s="10" t="s">
        <v>649</v>
      </c>
      <c r="F910" s="22" t="n">
        <f aca="false">Margin_Structure!N15</f>
        <v>39106</v>
      </c>
      <c r="G910" s="12" t="n">
        <v>39106</v>
      </c>
      <c r="H910" s="10" t="n">
        <f aca="false">F910-G910</f>
        <v>0</v>
      </c>
      <c r="I910" s="10" t="str">
        <f aca="false">IF(ABS(H910)&lt;=0.000001,"PASS","FAIL")</f>
        <v>PASS</v>
      </c>
      <c r="J910" s="10" t="s">
        <v>3275</v>
      </c>
    </row>
    <row r="911" customFormat="false" ht="15" hidden="false" customHeight="false" outlineLevel="0" collapsed="false">
      <c r="A911" s="10" t="s">
        <v>3276</v>
      </c>
      <c r="B911" s="10" t="s">
        <v>1104</v>
      </c>
      <c r="C911" s="10" t="s">
        <v>3277</v>
      </c>
      <c r="D911" s="10" t="s">
        <v>1136</v>
      </c>
      <c r="E911" s="10" t="s">
        <v>650</v>
      </c>
      <c r="F911" s="22" t="n">
        <f aca="false">Margin_Structure!Q15</f>
        <v>27908</v>
      </c>
      <c r="G911" s="12" t="n">
        <v>27908</v>
      </c>
      <c r="H911" s="10" t="n">
        <f aca="false">F911-G911</f>
        <v>0</v>
      </c>
      <c r="I911" s="10" t="str">
        <f aca="false">IF(ABS(H911)&lt;=0.000001,"PASS","FAIL")</f>
        <v>PASS</v>
      </c>
      <c r="J911" s="10" t="s">
        <v>3278</v>
      </c>
    </row>
    <row r="912" customFormat="false" ht="15" hidden="false" customHeight="false" outlineLevel="0" collapsed="false">
      <c r="A912" s="10" t="s">
        <v>3279</v>
      </c>
      <c r="B912" s="10" t="s">
        <v>1104</v>
      </c>
      <c r="C912" s="10" t="s">
        <v>3280</v>
      </c>
      <c r="D912" s="10" t="s">
        <v>1136</v>
      </c>
      <c r="E912" s="10" t="s">
        <v>651</v>
      </c>
      <c r="F912" s="22" t="n">
        <f aca="false">Margin_Structure!T15</f>
        <v>107443</v>
      </c>
      <c r="G912" s="12" t="n">
        <v>107443</v>
      </c>
      <c r="H912" s="10" t="n">
        <f aca="false">F912-G912</f>
        <v>0</v>
      </c>
      <c r="I912" s="10" t="str">
        <f aca="false">IF(ABS(H912)&lt;=0.000001,"PASS","FAIL")</f>
        <v>PASS</v>
      </c>
      <c r="J912" s="10" t="s">
        <v>3281</v>
      </c>
    </row>
    <row r="913" customFormat="false" ht="15" hidden="false" customHeight="false" outlineLevel="0" collapsed="false">
      <c r="A913" s="10" t="s">
        <v>3282</v>
      </c>
      <c r="B913" s="10" t="s">
        <v>1104</v>
      </c>
      <c r="C913" s="10" t="s">
        <v>3283</v>
      </c>
      <c r="D913" s="10" t="s">
        <v>1136</v>
      </c>
      <c r="E913" s="10" t="s">
        <v>652</v>
      </c>
      <c r="F913" s="22" t="n">
        <f aca="false">Margin_Structure!W15</f>
        <v>98831</v>
      </c>
      <c r="G913" s="12" t="n">
        <v>98831</v>
      </c>
      <c r="H913" s="10" t="n">
        <f aca="false">F913-G913</f>
        <v>0</v>
      </c>
      <c r="I913" s="10" t="str">
        <f aca="false">IF(ABS(H913)&lt;=0.000001,"PASS","FAIL")</f>
        <v>PASS</v>
      </c>
      <c r="J913" s="10" t="s">
        <v>3284</v>
      </c>
    </row>
    <row r="914" customFormat="false" ht="15" hidden="false" customHeight="false" outlineLevel="0" collapsed="false">
      <c r="A914" s="10" t="s">
        <v>3285</v>
      </c>
      <c r="B914" s="10" t="s">
        <v>1104</v>
      </c>
      <c r="C914" s="10" t="s">
        <v>3286</v>
      </c>
      <c r="D914" s="10" t="s">
        <v>1136</v>
      </c>
      <c r="E914" s="10" t="s">
        <v>653</v>
      </c>
      <c r="F914" s="22" t="n">
        <f aca="false">Margin_Structure!Z15</f>
        <v>21781</v>
      </c>
      <c r="G914" s="12" t="n">
        <v>21781</v>
      </c>
      <c r="H914" s="10" t="n">
        <f aca="false">F914-G914</f>
        <v>0</v>
      </c>
      <c r="I914" s="10" t="str">
        <f aca="false">IF(ABS(H914)&lt;=0.000001,"PASS","FAIL")</f>
        <v>PASS</v>
      </c>
      <c r="J914" s="10" t="s">
        <v>3287</v>
      </c>
    </row>
    <row r="915" customFormat="false" ht="15" hidden="false" customHeight="false" outlineLevel="0" collapsed="false">
      <c r="A915" s="10" t="s">
        <v>3288</v>
      </c>
      <c r="B915" s="10" t="s">
        <v>1104</v>
      </c>
      <c r="C915" s="10" t="s">
        <v>3289</v>
      </c>
      <c r="D915" s="10" t="s">
        <v>1136</v>
      </c>
      <c r="E915" s="10" t="s">
        <v>654</v>
      </c>
      <c r="F915" s="22" t="n">
        <f aca="false">Margin_Structure!AC15</f>
        <v>14652</v>
      </c>
      <c r="G915" s="12" t="n">
        <v>14652</v>
      </c>
      <c r="H915" s="10" t="n">
        <f aca="false">F915-G915</f>
        <v>0</v>
      </c>
      <c r="I915" s="10" t="str">
        <f aca="false">IF(ABS(H915)&lt;=0.000001,"PASS","FAIL")</f>
        <v>PASS</v>
      </c>
      <c r="J915" s="10" t="s">
        <v>3290</v>
      </c>
    </row>
    <row r="916" customFormat="false" ht="15" hidden="false" customHeight="false" outlineLevel="0" collapsed="false">
      <c r="A916" s="10" t="s">
        <v>3291</v>
      </c>
      <c r="B916" s="10" t="s">
        <v>1104</v>
      </c>
      <c r="C916" s="10" t="s">
        <v>3292</v>
      </c>
      <c r="D916" s="10" t="s">
        <v>1136</v>
      </c>
      <c r="E916" s="10" t="s">
        <v>655</v>
      </c>
      <c r="F916" s="22" t="n">
        <f aca="false">Margin_Structure!AF15</f>
        <v>-12167</v>
      </c>
      <c r="G916" s="12" t="n">
        <v>-12167</v>
      </c>
      <c r="H916" s="10" t="n">
        <f aca="false">F916-G916</f>
        <v>0</v>
      </c>
      <c r="I916" s="10" t="str">
        <f aca="false">IF(ABS(H916)&lt;=0.000001,"PASS","FAIL")</f>
        <v>PASS</v>
      </c>
      <c r="J916" s="10" t="s">
        <v>3293</v>
      </c>
    </row>
    <row r="917" customFormat="false" ht="15" hidden="false" customHeight="false" outlineLevel="0" collapsed="false">
      <c r="A917" s="10" t="s">
        <v>3294</v>
      </c>
      <c r="B917" s="10" t="s">
        <v>1104</v>
      </c>
      <c r="C917" s="10" t="s">
        <v>3295</v>
      </c>
      <c r="D917" s="10" t="s">
        <v>1136</v>
      </c>
      <c r="E917" s="10" t="s">
        <v>167</v>
      </c>
      <c r="F917" s="22" t="n">
        <f aca="false">Margin_Structure!AI15</f>
        <v>16617</v>
      </c>
      <c r="G917" s="12" t="n">
        <v>16617</v>
      </c>
      <c r="H917" s="10" t="n">
        <f aca="false">F917-G917</f>
        <v>0</v>
      </c>
      <c r="I917" s="10" t="str">
        <f aca="false">IF(ABS(H917)&lt;=0.000001,"PASS","FAIL")</f>
        <v>PASS</v>
      </c>
      <c r="J917" s="10" t="s">
        <v>3296</v>
      </c>
    </row>
    <row r="918" customFormat="false" ht="15" hidden="false" customHeight="false" outlineLevel="0" collapsed="false">
      <c r="A918" s="10" t="s">
        <v>3297</v>
      </c>
      <c r="B918" s="10" t="s">
        <v>1104</v>
      </c>
      <c r="C918" s="10" t="s">
        <v>3298</v>
      </c>
      <c r="D918" s="10" t="s">
        <v>1136</v>
      </c>
      <c r="E918" s="10" t="s">
        <v>95</v>
      </c>
      <c r="F918" s="22" t="n">
        <f aca="false">Margin_Structure!E16</f>
        <v>189190</v>
      </c>
      <c r="G918" s="12" t="n">
        <v>189190</v>
      </c>
      <c r="H918" s="10" t="n">
        <f aca="false">F918-G918</f>
        <v>0</v>
      </c>
      <c r="I918" s="10" t="str">
        <f aca="false">IF(ABS(H918)&lt;=0.000001,"PASS","FAIL")</f>
        <v>PASS</v>
      </c>
      <c r="J918" s="10" t="s">
        <v>2571</v>
      </c>
    </row>
    <row r="919" customFormat="false" ht="15" hidden="false" customHeight="false" outlineLevel="0" collapsed="false">
      <c r="A919" s="10" t="s">
        <v>3299</v>
      </c>
      <c r="B919" s="10" t="s">
        <v>1104</v>
      </c>
      <c r="C919" s="10" t="s">
        <v>3300</v>
      </c>
      <c r="D919" s="10" t="s">
        <v>1136</v>
      </c>
      <c r="E919" s="10" t="s">
        <v>656</v>
      </c>
      <c r="F919" s="22" t="n">
        <f aca="false">Margin_Structure!H16</f>
        <v>167483</v>
      </c>
      <c r="G919" s="12" t="n">
        <v>167483</v>
      </c>
      <c r="H919" s="10" t="n">
        <f aca="false">F919-G919</f>
        <v>0</v>
      </c>
      <c r="I919" s="10" t="str">
        <f aca="false">IF(ABS(H919)&lt;=0.000001,"PASS","FAIL")</f>
        <v>PASS</v>
      </c>
      <c r="J919" s="10" t="s">
        <v>3301</v>
      </c>
    </row>
    <row r="920" customFormat="false" ht="15" hidden="false" customHeight="false" outlineLevel="0" collapsed="false">
      <c r="A920" s="10" t="s">
        <v>3302</v>
      </c>
      <c r="B920" s="10" t="s">
        <v>1104</v>
      </c>
      <c r="C920" s="10" t="s">
        <v>3303</v>
      </c>
      <c r="D920" s="10" t="s">
        <v>1136</v>
      </c>
      <c r="E920" s="10" t="s">
        <v>657</v>
      </c>
      <c r="F920" s="22" t="n">
        <f aca="false">Margin_Structure!K16</f>
        <v>168866</v>
      </c>
      <c r="G920" s="12" t="n">
        <v>168866</v>
      </c>
      <c r="H920" s="10" t="n">
        <f aca="false">F920-G920</f>
        <v>0</v>
      </c>
      <c r="I920" s="10" t="str">
        <f aca="false">IF(ABS(H920)&lt;=0.000001,"PASS","FAIL")</f>
        <v>PASS</v>
      </c>
      <c r="J920" s="10" t="s">
        <v>3304</v>
      </c>
    </row>
    <row r="921" customFormat="false" ht="15" hidden="false" customHeight="false" outlineLevel="0" collapsed="false">
      <c r="A921" s="10" t="s">
        <v>3305</v>
      </c>
      <c r="B921" s="10" t="s">
        <v>1104</v>
      </c>
      <c r="C921" s="10" t="s">
        <v>3306</v>
      </c>
      <c r="D921" s="10" t="s">
        <v>1136</v>
      </c>
      <c r="E921" s="10" t="s">
        <v>658</v>
      </c>
      <c r="F921" s="22" t="n">
        <f aca="false">Margin_Structure!N16</f>
        <v>38433</v>
      </c>
      <c r="G921" s="12" t="n">
        <v>38433</v>
      </c>
      <c r="H921" s="10" t="n">
        <f aca="false">F921-G921</f>
        <v>0</v>
      </c>
      <c r="I921" s="10" t="str">
        <f aca="false">IF(ABS(H921)&lt;=0.000001,"PASS","FAIL")</f>
        <v>PASS</v>
      </c>
      <c r="J921" s="10" t="s">
        <v>3307</v>
      </c>
    </row>
    <row r="922" customFormat="false" ht="15" hidden="false" customHeight="false" outlineLevel="0" collapsed="false">
      <c r="A922" s="10" t="s">
        <v>3308</v>
      </c>
      <c r="B922" s="10" t="s">
        <v>1104</v>
      </c>
      <c r="C922" s="10" t="s">
        <v>3309</v>
      </c>
      <c r="D922" s="10" t="s">
        <v>1136</v>
      </c>
      <c r="E922" s="10" t="s">
        <v>659</v>
      </c>
      <c r="F922" s="22" t="n">
        <f aca="false">Margin_Structure!Q16</f>
        <v>28051</v>
      </c>
      <c r="G922" s="12" t="n">
        <v>28051</v>
      </c>
      <c r="H922" s="10" t="n">
        <f aca="false">F922-G922</f>
        <v>0</v>
      </c>
      <c r="I922" s="10" t="str">
        <f aca="false">IF(ABS(H922)&lt;=0.000001,"PASS","FAIL")</f>
        <v>PASS</v>
      </c>
      <c r="J922" s="10" t="s">
        <v>3310</v>
      </c>
    </row>
    <row r="923" customFormat="false" ht="15" hidden="false" customHeight="false" outlineLevel="0" collapsed="false">
      <c r="A923" s="10" t="s">
        <v>3311</v>
      </c>
      <c r="B923" s="10" t="s">
        <v>1104</v>
      </c>
      <c r="C923" s="10" t="s">
        <v>3312</v>
      </c>
      <c r="D923" s="10" t="s">
        <v>1136</v>
      </c>
      <c r="E923" s="10" t="s">
        <v>660</v>
      </c>
      <c r="F923" s="22" t="n">
        <f aca="false">Margin_Structure!T16</f>
        <v>108360</v>
      </c>
      <c r="G923" s="12" t="n">
        <v>108360</v>
      </c>
      <c r="H923" s="10" t="n">
        <f aca="false">F923-G923</f>
        <v>0</v>
      </c>
      <c r="I923" s="10" t="str">
        <f aca="false">IF(ABS(H923)&lt;=0.000001,"PASS","FAIL")</f>
        <v>PASS</v>
      </c>
      <c r="J923" s="10" t="s">
        <v>3313</v>
      </c>
    </row>
    <row r="924" customFormat="false" ht="15" hidden="false" customHeight="false" outlineLevel="0" collapsed="false">
      <c r="A924" s="10" t="s">
        <v>3314</v>
      </c>
      <c r="B924" s="10" t="s">
        <v>1104</v>
      </c>
      <c r="C924" s="10" t="s">
        <v>3315</v>
      </c>
      <c r="D924" s="10" t="s">
        <v>1136</v>
      </c>
      <c r="E924" s="10" t="s">
        <v>661</v>
      </c>
      <c r="F924" s="22" t="n">
        <f aca="false">Margin_Structure!W16</f>
        <v>101504</v>
      </c>
      <c r="G924" s="12" t="n">
        <v>101504</v>
      </c>
      <c r="H924" s="10" t="n">
        <f aca="false">F924-G924</f>
        <v>0</v>
      </c>
      <c r="I924" s="10" t="str">
        <f aca="false">IF(ABS(H924)&lt;=0.000001,"PASS","FAIL")</f>
        <v>PASS</v>
      </c>
      <c r="J924" s="10" t="s">
        <v>3316</v>
      </c>
    </row>
    <row r="925" customFormat="false" ht="15" hidden="false" customHeight="false" outlineLevel="0" collapsed="false">
      <c r="A925" s="10" t="s">
        <v>3317</v>
      </c>
      <c r="B925" s="10" t="s">
        <v>1104</v>
      </c>
      <c r="C925" s="10" t="s">
        <v>3318</v>
      </c>
      <c r="D925" s="10" t="s">
        <v>1136</v>
      </c>
      <c r="E925" s="10" t="s">
        <v>662</v>
      </c>
      <c r="F925" s="22" t="n">
        <f aca="false">Margin_Structure!Z16</f>
        <v>23211</v>
      </c>
      <c r="G925" s="12" t="n">
        <v>23211</v>
      </c>
      <c r="H925" s="10" t="n">
        <f aca="false">F925-G925</f>
        <v>0</v>
      </c>
      <c r="I925" s="10" t="str">
        <f aca="false">IF(ABS(H925)&lt;=0.000001,"PASS","FAIL")</f>
        <v>PASS</v>
      </c>
      <c r="J925" s="10" t="s">
        <v>3319</v>
      </c>
    </row>
    <row r="926" customFormat="false" ht="15" hidden="false" customHeight="false" outlineLevel="0" collapsed="false">
      <c r="A926" s="10" t="s">
        <v>3320</v>
      </c>
      <c r="B926" s="10" t="s">
        <v>1104</v>
      </c>
      <c r="C926" s="10" t="s">
        <v>3321</v>
      </c>
      <c r="D926" s="10" t="s">
        <v>1136</v>
      </c>
      <c r="E926" s="10" t="s">
        <v>663</v>
      </c>
      <c r="F926" s="22" t="n">
        <f aca="false">Margin_Structure!AC16</f>
        <v>15234</v>
      </c>
      <c r="G926" s="12" t="n">
        <v>15234</v>
      </c>
      <c r="H926" s="10" t="n">
        <f aca="false">F926-G926</f>
        <v>0</v>
      </c>
      <c r="I926" s="10" t="str">
        <f aca="false">IF(ABS(H926)&lt;=0.000001,"PASS","FAIL")</f>
        <v>PASS</v>
      </c>
      <c r="J926" s="10" t="s">
        <v>3322</v>
      </c>
    </row>
    <row r="927" customFormat="false" ht="15" hidden="false" customHeight="false" outlineLevel="0" collapsed="false">
      <c r="A927" s="10" t="s">
        <v>3323</v>
      </c>
      <c r="B927" s="10" t="s">
        <v>1104</v>
      </c>
      <c r="C927" s="10" t="s">
        <v>3324</v>
      </c>
      <c r="D927" s="10" t="s">
        <v>1136</v>
      </c>
      <c r="E927" s="10" t="s">
        <v>664</v>
      </c>
      <c r="F927" s="22" t="n">
        <f aca="false">Margin_Structure!AF16</f>
        <v>-2521</v>
      </c>
      <c r="G927" s="12" t="n">
        <v>-2521</v>
      </c>
      <c r="H927" s="10" t="n">
        <f aca="false">F927-G927</f>
        <v>0</v>
      </c>
      <c r="I927" s="10" t="str">
        <f aca="false">IF(ABS(H927)&lt;=0.000001,"PASS","FAIL")</f>
        <v>PASS</v>
      </c>
      <c r="J927" s="10" t="s">
        <v>3325</v>
      </c>
    </row>
    <row r="928" customFormat="false" ht="15" hidden="false" customHeight="false" outlineLevel="0" collapsed="false">
      <c r="A928" s="10" t="s">
        <v>3326</v>
      </c>
      <c r="B928" s="10" t="s">
        <v>1104</v>
      </c>
      <c r="C928" s="10" t="s">
        <v>3327</v>
      </c>
      <c r="D928" s="10" t="s">
        <v>1136</v>
      </c>
      <c r="E928" s="10" t="s">
        <v>169</v>
      </c>
      <c r="F928" s="22" t="n">
        <f aca="false">Margin_Structure!AI16</f>
        <v>24077</v>
      </c>
      <c r="G928" s="12" t="n">
        <v>24077</v>
      </c>
      <c r="H928" s="10" t="n">
        <f aca="false">F928-G928</f>
        <v>0</v>
      </c>
      <c r="I928" s="10" t="str">
        <f aca="false">IF(ABS(H928)&lt;=0.000001,"PASS","FAIL")</f>
        <v>PASS</v>
      </c>
      <c r="J928" s="10" t="s">
        <v>3328</v>
      </c>
    </row>
    <row r="929" customFormat="false" ht="15" hidden="false" customHeight="false" outlineLevel="0" collapsed="false">
      <c r="A929" s="10" t="s">
        <v>3329</v>
      </c>
      <c r="B929" s="10" t="s">
        <v>1104</v>
      </c>
      <c r="C929" s="10" t="s">
        <v>3330</v>
      </c>
      <c r="D929" s="10" t="s">
        <v>1136</v>
      </c>
      <c r="E929" s="10" t="s">
        <v>100</v>
      </c>
      <c r="F929" s="22" t="n">
        <f aca="false">Margin_Structure!E17</f>
        <v>202570</v>
      </c>
      <c r="G929" s="12" t="n">
        <v>202570</v>
      </c>
      <c r="H929" s="10" t="n">
        <f aca="false">F929-G929</f>
        <v>0</v>
      </c>
      <c r="I929" s="10" t="str">
        <f aca="false">IF(ABS(H929)&lt;=0.000001,"PASS","FAIL")</f>
        <v>PASS</v>
      </c>
      <c r="J929" s="10" t="s">
        <v>2595</v>
      </c>
    </row>
    <row r="930" customFormat="false" ht="15" hidden="false" customHeight="false" outlineLevel="0" collapsed="false">
      <c r="A930" s="10" t="s">
        <v>3331</v>
      </c>
      <c r="B930" s="10" t="s">
        <v>1104</v>
      </c>
      <c r="C930" s="10" t="s">
        <v>3332</v>
      </c>
      <c r="D930" s="10" t="s">
        <v>1136</v>
      </c>
      <c r="E930" s="10" t="s">
        <v>665</v>
      </c>
      <c r="F930" s="22" t="n">
        <f aca="false">Margin_Structure!H17</f>
        <v>180162</v>
      </c>
      <c r="G930" s="12" t="n">
        <v>180162</v>
      </c>
      <c r="H930" s="10" t="n">
        <f aca="false">F930-G930</f>
        <v>0</v>
      </c>
      <c r="I930" s="10" t="str">
        <f aca="false">IF(ABS(H930)&lt;=0.000001,"PASS","FAIL")</f>
        <v>PASS</v>
      </c>
      <c r="J930" s="10" t="s">
        <v>3333</v>
      </c>
    </row>
    <row r="931" customFormat="false" ht="15" hidden="false" customHeight="false" outlineLevel="0" collapsed="false">
      <c r="A931" s="10" t="s">
        <v>3334</v>
      </c>
      <c r="B931" s="10" t="s">
        <v>1104</v>
      </c>
      <c r="C931" s="10" t="s">
        <v>3335</v>
      </c>
      <c r="D931" s="10" t="s">
        <v>1136</v>
      </c>
      <c r="E931" s="10" t="s">
        <v>666</v>
      </c>
      <c r="F931" s="22" t="n">
        <f aca="false">Margin_Structure!K17</f>
        <v>181764</v>
      </c>
      <c r="G931" s="12" t="n">
        <v>181764</v>
      </c>
      <c r="H931" s="10" t="n">
        <f aca="false">F931-G931</f>
        <v>0</v>
      </c>
      <c r="I931" s="10" t="str">
        <f aca="false">IF(ABS(H931)&lt;=0.000001,"PASS","FAIL")</f>
        <v>PASS</v>
      </c>
      <c r="J931" s="10" t="s">
        <v>3336</v>
      </c>
    </row>
    <row r="932" customFormat="false" ht="15" hidden="false" customHeight="false" outlineLevel="0" collapsed="false">
      <c r="A932" s="10" t="s">
        <v>3337</v>
      </c>
      <c r="B932" s="10" t="s">
        <v>1104</v>
      </c>
      <c r="C932" s="10" t="s">
        <v>3338</v>
      </c>
      <c r="D932" s="10" t="s">
        <v>1136</v>
      </c>
      <c r="E932" s="10" t="s">
        <v>667</v>
      </c>
      <c r="F932" s="22" t="n">
        <f aca="false">Margin_Structure!N17</f>
        <v>41898</v>
      </c>
      <c r="G932" s="12" t="n">
        <v>41898</v>
      </c>
      <c r="H932" s="10" t="n">
        <f aca="false">F932-G932</f>
        <v>0</v>
      </c>
      <c r="I932" s="10" t="str">
        <f aca="false">IF(ABS(H932)&lt;=0.000001,"PASS","FAIL")</f>
        <v>PASS</v>
      </c>
      <c r="J932" s="10" t="s">
        <v>3339</v>
      </c>
    </row>
    <row r="933" customFormat="false" ht="15" hidden="false" customHeight="false" outlineLevel="0" collapsed="false">
      <c r="A933" s="10" t="s">
        <v>3340</v>
      </c>
      <c r="B933" s="10" t="s">
        <v>1104</v>
      </c>
      <c r="C933" s="10" t="s">
        <v>3341</v>
      </c>
      <c r="D933" s="10" t="s">
        <v>1136</v>
      </c>
      <c r="E933" s="10" t="s">
        <v>668</v>
      </c>
      <c r="F933" s="22" t="n">
        <f aca="false">Margin_Structure!Q17</f>
        <v>33285</v>
      </c>
      <c r="G933" s="12" t="n">
        <v>33285</v>
      </c>
      <c r="H933" s="10" t="n">
        <f aca="false">F933-G933</f>
        <v>0</v>
      </c>
      <c r="I933" s="10" t="str">
        <f aca="false">IF(ABS(H933)&lt;=0.000001,"PASS","FAIL")</f>
        <v>PASS</v>
      </c>
      <c r="J933" s="10" t="s">
        <v>3342</v>
      </c>
    </row>
    <row r="934" customFormat="false" ht="15" hidden="false" customHeight="false" outlineLevel="0" collapsed="false">
      <c r="A934" s="10" t="s">
        <v>3343</v>
      </c>
      <c r="B934" s="10" t="s">
        <v>1104</v>
      </c>
      <c r="C934" s="10" t="s">
        <v>3344</v>
      </c>
      <c r="D934" s="10" t="s">
        <v>1136</v>
      </c>
      <c r="E934" s="10" t="s">
        <v>669</v>
      </c>
      <c r="F934" s="22" t="n">
        <f aca="false">Margin_Structure!T17</f>
        <v>114919</v>
      </c>
      <c r="G934" s="12" t="n">
        <v>114919</v>
      </c>
      <c r="H934" s="10" t="n">
        <f aca="false">F934-G934</f>
        <v>0</v>
      </c>
      <c r="I934" s="10" t="str">
        <f aca="false">IF(ABS(H934)&lt;=0.000001,"PASS","FAIL")</f>
        <v>PASS</v>
      </c>
      <c r="J934" s="10" t="s">
        <v>3345</v>
      </c>
    </row>
    <row r="935" customFormat="false" ht="15" hidden="false" customHeight="false" outlineLevel="0" collapsed="false">
      <c r="A935" s="10" t="s">
        <v>3346</v>
      </c>
      <c r="B935" s="10" t="s">
        <v>1104</v>
      </c>
      <c r="C935" s="10" t="s">
        <v>3347</v>
      </c>
      <c r="D935" s="10" t="s">
        <v>1136</v>
      </c>
      <c r="E935" s="10" t="s">
        <v>670</v>
      </c>
      <c r="F935" s="22" t="n">
        <f aca="false">Margin_Structure!W17</f>
        <v>110020</v>
      </c>
      <c r="G935" s="12" t="n">
        <v>110020</v>
      </c>
      <c r="H935" s="10" t="n">
        <f aca="false">F935-G935</f>
        <v>0</v>
      </c>
      <c r="I935" s="10" t="str">
        <f aca="false">IF(ABS(H935)&lt;=0.000001,"PASS","FAIL")</f>
        <v>PASS</v>
      </c>
      <c r="J935" s="10" t="s">
        <v>3348</v>
      </c>
    </row>
    <row r="936" customFormat="false" ht="15" hidden="false" customHeight="false" outlineLevel="0" collapsed="false">
      <c r="A936" s="10" t="s">
        <v>3349</v>
      </c>
      <c r="B936" s="10" t="s">
        <v>1104</v>
      </c>
      <c r="C936" s="10" t="s">
        <v>3350</v>
      </c>
      <c r="D936" s="10" t="s">
        <v>1136</v>
      </c>
      <c r="E936" s="10" t="s">
        <v>671</v>
      </c>
      <c r="F936" s="22" t="n">
        <f aca="false">Margin_Structure!Z17</f>
        <v>24490</v>
      </c>
      <c r="G936" s="12" t="n">
        <v>24490</v>
      </c>
      <c r="H936" s="10" t="n">
        <f aca="false">F936-G936</f>
        <v>0</v>
      </c>
      <c r="I936" s="10" t="str">
        <f aca="false">IF(ABS(H936)&lt;=0.000001,"PASS","FAIL")</f>
        <v>PASS</v>
      </c>
      <c r="J936" s="10" t="s">
        <v>3351</v>
      </c>
    </row>
    <row r="937" customFormat="false" ht="15" hidden="false" customHeight="false" outlineLevel="0" collapsed="false">
      <c r="A937" s="10" t="s">
        <v>3352</v>
      </c>
      <c r="B937" s="10" t="s">
        <v>1104</v>
      </c>
      <c r="C937" s="10" t="s">
        <v>3353</v>
      </c>
      <c r="D937" s="10" t="s">
        <v>1136</v>
      </c>
      <c r="E937" s="10" t="s">
        <v>672</v>
      </c>
      <c r="F937" s="22" t="n">
        <f aca="false">Margin_Structure!AC17</f>
        <v>17259</v>
      </c>
      <c r="G937" s="12" t="n">
        <v>17259</v>
      </c>
      <c r="H937" s="10" t="n">
        <f aca="false">F937-G937</f>
        <v>0</v>
      </c>
      <c r="I937" s="10" t="str">
        <f aca="false">IF(ABS(H937)&lt;=0.000001,"PASS","FAIL")</f>
        <v>PASS</v>
      </c>
      <c r="J937" s="10" t="s">
        <v>3354</v>
      </c>
    </row>
    <row r="938" customFormat="false" ht="15" hidden="false" customHeight="false" outlineLevel="0" collapsed="false">
      <c r="A938" s="10" t="s">
        <v>3355</v>
      </c>
      <c r="B938" s="10" t="s">
        <v>1104</v>
      </c>
      <c r="C938" s="10" t="s">
        <v>3356</v>
      </c>
      <c r="D938" s="10" t="s">
        <v>1136</v>
      </c>
      <c r="E938" s="10" t="s">
        <v>673</v>
      </c>
      <c r="F938" s="22" t="n">
        <f aca="false">Margin_Structure!AF17</f>
        <v>-1145</v>
      </c>
      <c r="G938" s="12" t="n">
        <v>-1145</v>
      </c>
      <c r="H938" s="10" t="n">
        <f aca="false">F938-G938</f>
        <v>0</v>
      </c>
      <c r="I938" s="10" t="str">
        <f aca="false">IF(ABS(H938)&lt;=0.000001,"PASS","FAIL")</f>
        <v>PASS</v>
      </c>
      <c r="J938" s="10" t="s">
        <v>3357</v>
      </c>
    </row>
    <row r="939" customFormat="false" ht="15" hidden="false" customHeight="false" outlineLevel="0" collapsed="false">
      <c r="A939" s="10" t="s">
        <v>3358</v>
      </c>
      <c r="B939" s="10" t="s">
        <v>1104</v>
      </c>
      <c r="C939" s="10" t="s">
        <v>3359</v>
      </c>
      <c r="D939" s="10" t="s">
        <v>1136</v>
      </c>
      <c r="E939" s="10" t="s">
        <v>171</v>
      </c>
      <c r="F939" s="22" t="n">
        <f aca="false">Margin_Structure!AI17</f>
        <v>21200</v>
      </c>
      <c r="G939" s="12" t="n">
        <v>21200</v>
      </c>
      <c r="H939" s="10" t="n">
        <f aca="false">F939-G939</f>
        <v>0</v>
      </c>
      <c r="I939" s="10" t="str">
        <f aca="false">IF(ABS(H939)&lt;=0.000001,"PASS","FAIL")</f>
        <v>PASS</v>
      </c>
      <c r="J939" s="10" t="s">
        <v>3360</v>
      </c>
    </row>
    <row r="940" customFormat="false" ht="15" hidden="false" customHeight="false" outlineLevel="0" collapsed="false">
      <c r="A940" s="10" t="s">
        <v>3361</v>
      </c>
      <c r="B940" s="10" t="s">
        <v>1104</v>
      </c>
      <c r="C940" s="10" t="s">
        <v>3362</v>
      </c>
      <c r="D940" s="10" t="s">
        <v>1136</v>
      </c>
      <c r="E940" s="10" t="s">
        <v>105</v>
      </c>
      <c r="F940" s="22" t="n">
        <f aca="false">Margin_Structure!E18</f>
        <v>216913</v>
      </c>
      <c r="G940" s="12" t="n">
        <v>216913</v>
      </c>
      <c r="H940" s="10" t="n">
        <f aca="false">F940-G940</f>
        <v>0</v>
      </c>
      <c r="I940" s="10" t="str">
        <f aca="false">IF(ABS(H940)&lt;=0.000001,"PASS","FAIL")</f>
        <v>PASS</v>
      </c>
      <c r="J940" s="10" t="s">
        <v>2619</v>
      </c>
    </row>
    <row r="941" customFormat="false" ht="15" hidden="false" customHeight="false" outlineLevel="0" collapsed="false">
      <c r="A941" s="10" t="s">
        <v>3363</v>
      </c>
      <c r="B941" s="10" t="s">
        <v>1104</v>
      </c>
      <c r="C941" s="10" t="s">
        <v>3364</v>
      </c>
      <c r="D941" s="10" t="s">
        <v>1136</v>
      </c>
      <c r="E941" s="10" t="s">
        <v>674</v>
      </c>
      <c r="F941" s="22" t="n">
        <f aca="false">Margin_Structure!H18</f>
        <v>193459</v>
      </c>
      <c r="G941" s="12" t="n">
        <v>193459</v>
      </c>
      <c r="H941" s="10" t="n">
        <f aca="false">F941-G941</f>
        <v>0</v>
      </c>
      <c r="I941" s="10" t="str">
        <f aca="false">IF(ABS(H941)&lt;=0.000001,"PASS","FAIL")</f>
        <v>PASS</v>
      </c>
      <c r="J941" s="10" t="s">
        <v>3365</v>
      </c>
    </row>
    <row r="942" customFormat="false" ht="15" hidden="false" customHeight="false" outlineLevel="0" collapsed="false">
      <c r="A942" s="10" t="s">
        <v>3366</v>
      </c>
      <c r="B942" s="10" t="s">
        <v>1104</v>
      </c>
      <c r="C942" s="10" t="s">
        <v>3367</v>
      </c>
      <c r="D942" s="10" t="s">
        <v>1136</v>
      </c>
      <c r="E942" s="10" t="s">
        <v>675</v>
      </c>
      <c r="F942" s="22" t="n">
        <f aca="false">Margin_Structure!K18</f>
        <v>194703</v>
      </c>
      <c r="G942" s="12" t="n">
        <v>194703</v>
      </c>
      <c r="H942" s="10" t="n">
        <f aca="false">F942-G942</f>
        <v>0</v>
      </c>
      <c r="I942" s="10" t="str">
        <f aca="false">IF(ABS(H942)&lt;=0.000001,"PASS","FAIL")</f>
        <v>PASS</v>
      </c>
      <c r="J942" s="10" t="s">
        <v>3368</v>
      </c>
    </row>
    <row r="943" customFormat="false" ht="15" hidden="false" customHeight="false" outlineLevel="0" collapsed="false">
      <c r="A943" s="10" t="s">
        <v>3369</v>
      </c>
      <c r="B943" s="10" t="s">
        <v>1104</v>
      </c>
      <c r="C943" s="10" t="s">
        <v>3370</v>
      </c>
      <c r="D943" s="10" t="s">
        <v>1136</v>
      </c>
      <c r="E943" s="10" t="s">
        <v>676</v>
      </c>
      <c r="F943" s="22" t="n">
        <f aca="false">Margin_Structure!N18</f>
        <v>44423</v>
      </c>
      <c r="G943" s="12" t="n">
        <v>44423</v>
      </c>
      <c r="H943" s="10" t="n">
        <f aca="false">F943-G943</f>
        <v>0</v>
      </c>
      <c r="I943" s="10" t="str">
        <f aca="false">IF(ABS(H943)&lt;=0.000001,"PASS","FAIL")</f>
        <v>PASS</v>
      </c>
      <c r="J943" s="10" t="s">
        <v>3371</v>
      </c>
    </row>
    <row r="944" customFormat="false" ht="15" hidden="false" customHeight="false" outlineLevel="0" collapsed="false">
      <c r="A944" s="10" t="s">
        <v>3372</v>
      </c>
      <c r="B944" s="10" t="s">
        <v>1104</v>
      </c>
      <c r="C944" s="10" t="s">
        <v>3373</v>
      </c>
      <c r="D944" s="10" t="s">
        <v>1136</v>
      </c>
      <c r="E944" s="10" t="s">
        <v>677</v>
      </c>
      <c r="F944" s="22" t="n">
        <f aca="false">Margin_Structure!Q18</f>
        <v>34797</v>
      </c>
      <c r="G944" s="12" t="n">
        <v>34797</v>
      </c>
      <c r="H944" s="10" t="n">
        <f aca="false">F944-G944</f>
        <v>0</v>
      </c>
      <c r="I944" s="10" t="str">
        <f aca="false">IF(ABS(H944)&lt;=0.000001,"PASS","FAIL")</f>
        <v>PASS</v>
      </c>
      <c r="J944" s="10" t="s">
        <v>3374</v>
      </c>
    </row>
    <row r="945" customFormat="false" ht="15" hidden="false" customHeight="false" outlineLevel="0" collapsed="false">
      <c r="A945" s="10" t="s">
        <v>3375</v>
      </c>
      <c r="B945" s="10" t="s">
        <v>1104</v>
      </c>
      <c r="C945" s="10" t="s">
        <v>3376</v>
      </c>
      <c r="D945" s="10" t="s">
        <v>1136</v>
      </c>
      <c r="E945" s="10" t="s">
        <v>678</v>
      </c>
      <c r="F945" s="22" t="n">
        <f aca="false">Margin_Structure!T18</f>
        <v>128141</v>
      </c>
      <c r="G945" s="12" t="n">
        <v>128141</v>
      </c>
      <c r="H945" s="10" t="n">
        <f aca="false">F945-G945</f>
        <v>0</v>
      </c>
      <c r="I945" s="10" t="str">
        <f aca="false">IF(ABS(H945)&lt;=0.000001,"PASS","FAIL")</f>
        <v>PASS</v>
      </c>
      <c r="J945" s="10" t="s">
        <v>3377</v>
      </c>
    </row>
    <row r="946" customFormat="false" ht="15" hidden="false" customHeight="false" outlineLevel="0" collapsed="false">
      <c r="A946" s="10" t="s">
        <v>3378</v>
      </c>
      <c r="B946" s="10" t="s">
        <v>1104</v>
      </c>
      <c r="C946" s="10" t="s">
        <v>3379</v>
      </c>
      <c r="D946" s="10" t="s">
        <v>1136</v>
      </c>
      <c r="E946" s="10" t="s">
        <v>679</v>
      </c>
      <c r="F946" s="22" t="n">
        <f aca="false">Margin_Structure!W18</f>
        <v>120806</v>
      </c>
      <c r="G946" s="12" t="n">
        <v>120806</v>
      </c>
      <c r="H946" s="10" t="n">
        <f aca="false">F946-G946</f>
        <v>0</v>
      </c>
      <c r="I946" s="10" t="str">
        <f aca="false">IF(ABS(H946)&lt;=0.000001,"PASS","FAIL")</f>
        <v>PASS</v>
      </c>
      <c r="J946" s="10" t="s">
        <v>3380</v>
      </c>
    </row>
    <row r="947" customFormat="false" ht="15" hidden="false" customHeight="false" outlineLevel="0" collapsed="false">
      <c r="A947" s="10" t="s">
        <v>3381</v>
      </c>
      <c r="B947" s="10" t="s">
        <v>1104</v>
      </c>
      <c r="C947" s="10" t="s">
        <v>3382</v>
      </c>
      <c r="D947" s="10" t="s">
        <v>1136</v>
      </c>
      <c r="E947" s="10" t="s">
        <v>680</v>
      </c>
      <c r="F947" s="22" t="n">
        <f aca="false">Margin_Structure!Z18</f>
        <v>25917</v>
      </c>
      <c r="G947" s="12" t="n">
        <v>25917</v>
      </c>
      <c r="H947" s="10" t="n">
        <f aca="false">F947-G947</f>
        <v>0</v>
      </c>
      <c r="I947" s="10" t="str">
        <f aca="false">IF(ABS(H947)&lt;=0.000001,"PASS","FAIL")</f>
        <v>PASS</v>
      </c>
      <c r="J947" s="10" t="s">
        <v>3383</v>
      </c>
    </row>
    <row r="948" customFormat="false" ht="15" hidden="false" customHeight="false" outlineLevel="0" collapsed="false">
      <c r="A948" s="10" t="s">
        <v>3384</v>
      </c>
      <c r="B948" s="10" t="s">
        <v>1104</v>
      </c>
      <c r="C948" s="10" t="s">
        <v>3385</v>
      </c>
      <c r="D948" s="10" t="s">
        <v>1136</v>
      </c>
      <c r="E948" s="10" t="s">
        <v>681</v>
      </c>
      <c r="F948" s="22" t="n">
        <f aca="false">Margin_Structure!AC18</f>
        <v>17579</v>
      </c>
      <c r="G948" s="12" t="n">
        <v>17579</v>
      </c>
      <c r="H948" s="10" t="n">
        <f aca="false">F948-G948</f>
        <v>0</v>
      </c>
      <c r="I948" s="10" t="str">
        <f aca="false">IF(ABS(H948)&lt;=0.000001,"PASS","FAIL")</f>
        <v>PASS</v>
      </c>
      <c r="J948" s="10" t="s">
        <v>3386</v>
      </c>
    </row>
    <row r="949" customFormat="false" ht="15" hidden="false" customHeight="false" outlineLevel="0" collapsed="false">
      <c r="A949" s="10" t="s">
        <v>3387</v>
      </c>
      <c r="B949" s="10" t="s">
        <v>1104</v>
      </c>
      <c r="C949" s="10" t="s">
        <v>3388</v>
      </c>
      <c r="D949" s="10" t="s">
        <v>1136</v>
      </c>
      <c r="E949" s="10" t="s">
        <v>682</v>
      </c>
      <c r="F949" s="22" t="n">
        <f aca="false">Margin_Structure!AF18</f>
        <v>-5022</v>
      </c>
      <c r="G949" s="12" t="n">
        <v>-5022</v>
      </c>
      <c r="H949" s="10" t="n">
        <f aca="false">F949-G949</f>
        <v>0</v>
      </c>
      <c r="I949" s="10" t="str">
        <f aca="false">IF(ABS(H949)&lt;=0.000001,"PASS","FAIL")</f>
        <v>PASS</v>
      </c>
      <c r="J949" s="10" t="s">
        <v>3389</v>
      </c>
    </row>
    <row r="950" customFormat="false" ht="15" hidden="false" customHeight="false" outlineLevel="0" collapsed="false">
      <c r="A950" s="10" t="s">
        <v>3390</v>
      </c>
      <c r="B950" s="10" t="s">
        <v>1104</v>
      </c>
      <c r="C950" s="10" t="s">
        <v>3391</v>
      </c>
      <c r="D950" s="10" t="s">
        <v>1136</v>
      </c>
      <c r="E950" s="10" t="s">
        <v>173</v>
      </c>
      <c r="F950" s="22" t="n">
        <f aca="false">Margin_Structure!AI18</f>
        <v>21521</v>
      </c>
      <c r="G950" s="12" t="n">
        <v>21521</v>
      </c>
      <c r="H950" s="10" t="n">
        <f aca="false">F950-G950</f>
        <v>0</v>
      </c>
      <c r="I950" s="10" t="str">
        <f aca="false">IF(ABS(H950)&lt;=0.000001,"PASS","FAIL")</f>
        <v>PASS</v>
      </c>
      <c r="J950" s="10" t="s">
        <v>3392</v>
      </c>
    </row>
    <row r="951" customFormat="false" ht="15" hidden="false" customHeight="false" outlineLevel="0" collapsed="false">
      <c r="A951" s="10" t="s">
        <v>3393</v>
      </c>
      <c r="B951" s="10" t="s">
        <v>1104</v>
      </c>
      <c r="C951" s="10" t="s">
        <v>3394</v>
      </c>
      <c r="D951" s="10" t="s">
        <v>1136</v>
      </c>
      <c r="E951" s="10" t="s">
        <v>110</v>
      </c>
      <c r="F951" s="22" t="n">
        <f aca="false">Margin_Structure!E19</f>
        <v>236106</v>
      </c>
      <c r="G951" s="12" t="n">
        <v>236106</v>
      </c>
      <c r="H951" s="10" t="n">
        <f aca="false">F951-G951</f>
        <v>0</v>
      </c>
      <c r="I951" s="10" t="str">
        <f aca="false">IF(ABS(H951)&lt;=0.000001,"PASS","FAIL")</f>
        <v>PASS</v>
      </c>
      <c r="J951" s="10" t="s">
        <v>2643</v>
      </c>
    </row>
    <row r="952" customFormat="false" ht="15" hidden="false" customHeight="false" outlineLevel="0" collapsed="false">
      <c r="A952" s="10" t="s">
        <v>3395</v>
      </c>
      <c r="B952" s="10" t="s">
        <v>1104</v>
      </c>
      <c r="C952" s="10" t="s">
        <v>3396</v>
      </c>
      <c r="D952" s="10" t="s">
        <v>1136</v>
      </c>
      <c r="E952" s="10" t="s">
        <v>683</v>
      </c>
      <c r="F952" s="22" t="n">
        <f aca="false">Margin_Structure!H19</f>
        <v>212343</v>
      </c>
      <c r="G952" s="12" t="n">
        <v>212343</v>
      </c>
      <c r="H952" s="10" t="n">
        <f aca="false">F952-G952</f>
        <v>0</v>
      </c>
      <c r="I952" s="10" t="str">
        <f aca="false">IF(ABS(H952)&lt;=0.000001,"PASS","FAIL")</f>
        <v>PASS</v>
      </c>
      <c r="J952" s="10" t="s">
        <v>3397</v>
      </c>
    </row>
    <row r="953" customFormat="false" ht="15" hidden="false" customHeight="false" outlineLevel="0" collapsed="false">
      <c r="A953" s="10" t="s">
        <v>3398</v>
      </c>
      <c r="B953" s="10" t="s">
        <v>1104</v>
      </c>
      <c r="C953" s="10" t="s">
        <v>3399</v>
      </c>
      <c r="D953" s="10" t="s">
        <v>1136</v>
      </c>
      <c r="E953" s="10" t="s">
        <v>684</v>
      </c>
      <c r="F953" s="22" t="n">
        <f aca="false">Margin_Structure!K19</f>
        <v>214215</v>
      </c>
      <c r="G953" s="12" t="n">
        <v>214215</v>
      </c>
      <c r="H953" s="10" t="n">
        <f aca="false">F953-G953</f>
        <v>0</v>
      </c>
      <c r="I953" s="10" t="str">
        <f aca="false">IF(ABS(H953)&lt;=0.000001,"PASS","FAIL")</f>
        <v>PASS</v>
      </c>
      <c r="J953" s="10" t="s">
        <v>3400</v>
      </c>
    </row>
    <row r="954" customFormat="false" ht="15" hidden="false" customHeight="false" outlineLevel="0" collapsed="false">
      <c r="A954" s="10" t="s">
        <v>3401</v>
      </c>
      <c r="B954" s="10" t="s">
        <v>1104</v>
      </c>
      <c r="C954" s="10" t="s">
        <v>3402</v>
      </c>
      <c r="D954" s="10" t="s">
        <v>1136</v>
      </c>
      <c r="E954" s="10" t="s">
        <v>685</v>
      </c>
      <c r="F954" s="22" t="n">
        <f aca="false">Margin_Structure!N19</f>
        <v>50445</v>
      </c>
      <c r="G954" s="12" t="n">
        <v>50445</v>
      </c>
      <c r="H954" s="10" t="n">
        <f aca="false">F954-G954</f>
        <v>0</v>
      </c>
      <c r="I954" s="10" t="str">
        <f aca="false">IF(ABS(H954)&lt;=0.000001,"PASS","FAIL")</f>
        <v>PASS</v>
      </c>
      <c r="J954" s="10" t="s">
        <v>3403</v>
      </c>
    </row>
    <row r="955" customFormat="false" ht="15" hidden="false" customHeight="false" outlineLevel="0" collapsed="false">
      <c r="A955" s="10" t="s">
        <v>3404</v>
      </c>
      <c r="B955" s="10" t="s">
        <v>1104</v>
      </c>
      <c r="C955" s="10" t="s">
        <v>3405</v>
      </c>
      <c r="D955" s="10" t="s">
        <v>1136</v>
      </c>
      <c r="E955" s="10" t="s">
        <v>686</v>
      </c>
      <c r="F955" s="22" t="n">
        <f aca="false">Margin_Structure!Q19</f>
        <v>36878</v>
      </c>
      <c r="G955" s="12" t="n">
        <v>36878</v>
      </c>
      <c r="H955" s="10" t="n">
        <f aca="false">F955-G955</f>
        <v>0</v>
      </c>
      <c r="I955" s="10" t="str">
        <f aca="false">IF(ABS(H955)&lt;=0.000001,"PASS","FAIL")</f>
        <v>PASS</v>
      </c>
      <c r="J955" s="10" t="s">
        <v>3406</v>
      </c>
    </row>
    <row r="956" customFormat="false" ht="15" hidden="false" customHeight="false" outlineLevel="0" collapsed="false">
      <c r="A956" s="10" t="s">
        <v>3407</v>
      </c>
      <c r="B956" s="10" t="s">
        <v>1104</v>
      </c>
      <c r="C956" s="10" t="s">
        <v>3408</v>
      </c>
      <c r="D956" s="10" t="s">
        <v>1136</v>
      </c>
      <c r="E956" s="10" t="s">
        <v>687</v>
      </c>
      <c r="F956" s="22" t="n">
        <f aca="false">Margin_Structure!T19</f>
        <v>131471</v>
      </c>
      <c r="G956" s="12" t="n">
        <v>131471</v>
      </c>
      <c r="H956" s="10" t="n">
        <f aca="false">F956-G956</f>
        <v>0</v>
      </c>
      <c r="I956" s="10" t="str">
        <f aca="false">IF(ABS(H956)&lt;=0.000001,"PASS","FAIL")</f>
        <v>PASS</v>
      </c>
      <c r="J956" s="10" t="s">
        <v>3409</v>
      </c>
    </row>
    <row r="957" customFormat="false" ht="15" hidden="false" customHeight="false" outlineLevel="0" collapsed="false">
      <c r="A957" s="10" t="s">
        <v>3410</v>
      </c>
      <c r="B957" s="10" t="s">
        <v>1104</v>
      </c>
      <c r="C957" s="10" t="s">
        <v>3411</v>
      </c>
      <c r="D957" s="10" t="s">
        <v>1136</v>
      </c>
      <c r="E957" s="10" t="s">
        <v>688</v>
      </c>
      <c r="F957" s="22" t="n">
        <f aca="false">Margin_Structure!W19</f>
        <v>120738</v>
      </c>
      <c r="G957" s="12" t="n">
        <v>120738</v>
      </c>
      <c r="H957" s="10" t="n">
        <f aca="false">F957-G957</f>
        <v>0</v>
      </c>
      <c r="I957" s="10" t="str">
        <f aca="false">IF(ABS(H957)&lt;=0.000001,"PASS","FAIL")</f>
        <v>PASS</v>
      </c>
      <c r="J957" s="10" t="s">
        <v>3412</v>
      </c>
    </row>
    <row r="958" customFormat="false" ht="15" hidden="false" customHeight="false" outlineLevel="0" collapsed="false">
      <c r="A958" s="10" t="s">
        <v>3413</v>
      </c>
      <c r="B958" s="10" t="s">
        <v>1104</v>
      </c>
      <c r="C958" s="10" t="s">
        <v>3414</v>
      </c>
      <c r="D958" s="10" t="s">
        <v>1136</v>
      </c>
      <c r="E958" s="10" t="s">
        <v>689</v>
      </c>
      <c r="F958" s="22" t="n">
        <f aca="false">Margin_Structure!Z19</f>
        <v>28633</v>
      </c>
      <c r="G958" s="12" t="n">
        <v>28633</v>
      </c>
      <c r="H958" s="10" t="n">
        <f aca="false">F958-G958</f>
        <v>0</v>
      </c>
      <c r="I958" s="10" t="str">
        <f aca="false">IF(ABS(H958)&lt;=0.000001,"PASS","FAIL")</f>
        <v>PASS</v>
      </c>
      <c r="J958" s="10" t="s">
        <v>3415</v>
      </c>
    </row>
    <row r="959" customFormat="false" ht="15" hidden="false" customHeight="false" outlineLevel="0" collapsed="false">
      <c r="A959" s="10" t="s">
        <v>3416</v>
      </c>
      <c r="B959" s="10" t="s">
        <v>1104</v>
      </c>
      <c r="C959" s="10" t="s">
        <v>3417</v>
      </c>
      <c r="D959" s="10" t="s">
        <v>1136</v>
      </c>
      <c r="E959" s="10" t="s">
        <v>690</v>
      </c>
      <c r="F959" s="22" t="n">
        <f aca="false">Margin_Structure!AC19</f>
        <v>18182</v>
      </c>
      <c r="G959" s="12" t="n">
        <v>18182</v>
      </c>
      <c r="H959" s="10" t="n">
        <f aca="false">F959-G959</f>
        <v>0</v>
      </c>
      <c r="I959" s="10" t="str">
        <f aca="false">IF(ABS(H959)&lt;=0.000001,"PASS","FAIL")</f>
        <v>PASS</v>
      </c>
      <c r="J959" s="10" t="s">
        <v>3418</v>
      </c>
    </row>
    <row r="960" customFormat="false" ht="15" hidden="false" customHeight="false" outlineLevel="0" collapsed="false">
      <c r="A960" s="10" t="s">
        <v>3419</v>
      </c>
      <c r="B960" s="10" t="s">
        <v>1104</v>
      </c>
      <c r="C960" s="10" t="s">
        <v>3420</v>
      </c>
      <c r="D960" s="10" t="s">
        <v>1136</v>
      </c>
      <c r="E960" s="10" t="s">
        <v>691</v>
      </c>
      <c r="F960" s="22" t="n">
        <f aca="false">Margin_Structure!AF19</f>
        <v>1794</v>
      </c>
      <c r="G960" s="12" t="n">
        <v>1794</v>
      </c>
      <c r="H960" s="10" t="n">
        <f aca="false">F960-G960</f>
        <v>0</v>
      </c>
      <c r="I960" s="10" t="str">
        <f aca="false">IF(ABS(H960)&lt;=0.000001,"PASS","FAIL")</f>
        <v>PASS</v>
      </c>
      <c r="J960" s="10" t="s">
        <v>3421</v>
      </c>
    </row>
    <row r="961" customFormat="false" ht="15" hidden="false" customHeight="false" outlineLevel="0" collapsed="false">
      <c r="A961" s="10" t="s">
        <v>3422</v>
      </c>
      <c r="B961" s="10" t="s">
        <v>1104</v>
      </c>
      <c r="C961" s="10" t="s">
        <v>3423</v>
      </c>
      <c r="D961" s="10" t="s">
        <v>1136</v>
      </c>
      <c r="E961" s="10" t="s">
        <v>175</v>
      </c>
      <c r="F961" s="22" t="n">
        <f aca="false">Margin_Structure!AI19</f>
        <v>38417</v>
      </c>
      <c r="G961" s="12" t="n">
        <v>38417</v>
      </c>
      <c r="H961" s="10" t="n">
        <f aca="false">F961-G961</f>
        <v>0</v>
      </c>
      <c r="I961" s="10" t="str">
        <f aca="false">IF(ABS(H961)&lt;=0.000001,"PASS","FAIL")</f>
        <v>PASS</v>
      </c>
      <c r="J961" s="10" t="s">
        <v>3424</v>
      </c>
    </row>
    <row r="962" customFormat="false" ht="15" hidden="false" customHeight="false" outlineLevel="0" collapsed="false">
      <c r="A962" s="10" t="s">
        <v>3425</v>
      </c>
      <c r="B962" s="10" t="s">
        <v>1104</v>
      </c>
      <c r="C962" s="10" t="s">
        <v>3426</v>
      </c>
      <c r="D962" s="10" t="s">
        <v>1136</v>
      </c>
      <c r="E962" s="10" t="s">
        <v>115</v>
      </c>
      <c r="F962" s="22" t="n">
        <f aca="false">Margin_Structure!E20</f>
        <v>251000</v>
      </c>
      <c r="G962" s="12" t="n">
        <v>251000</v>
      </c>
      <c r="H962" s="10" t="n">
        <f aca="false">F962-G962</f>
        <v>0</v>
      </c>
      <c r="I962" s="10" t="str">
        <f aca="false">IF(ABS(H962)&lt;=0.000001,"PASS","FAIL")</f>
        <v>PASS</v>
      </c>
      <c r="J962" s="10" t="s">
        <v>2667</v>
      </c>
    </row>
    <row r="963" customFormat="false" ht="15" hidden="false" customHeight="false" outlineLevel="0" collapsed="false">
      <c r="A963" s="10" t="s">
        <v>3427</v>
      </c>
      <c r="B963" s="10" t="s">
        <v>1104</v>
      </c>
      <c r="C963" s="10" t="s">
        <v>3428</v>
      </c>
      <c r="D963" s="10" t="s">
        <v>1136</v>
      </c>
      <c r="E963" s="10" t="s">
        <v>692</v>
      </c>
      <c r="F963" s="22" t="n">
        <f aca="false">Margin_Structure!H20</f>
        <v>225028</v>
      </c>
      <c r="G963" s="12" t="n">
        <v>225028</v>
      </c>
      <c r="H963" s="10" t="n">
        <f aca="false">F963-G963</f>
        <v>0</v>
      </c>
      <c r="I963" s="10" t="str">
        <f aca="false">IF(ABS(H963)&lt;=0.000001,"PASS","FAIL")</f>
        <v>PASS</v>
      </c>
      <c r="J963" s="10" t="s">
        <v>3429</v>
      </c>
    </row>
    <row r="964" customFormat="false" ht="15" hidden="false" customHeight="false" outlineLevel="0" collapsed="false">
      <c r="A964" s="10" t="s">
        <v>3430</v>
      </c>
      <c r="B964" s="10" t="s">
        <v>1104</v>
      </c>
      <c r="C964" s="10" t="s">
        <v>3431</v>
      </c>
      <c r="D964" s="10" t="s">
        <v>1136</v>
      </c>
      <c r="E964" s="10" t="s">
        <v>693</v>
      </c>
      <c r="F964" s="22" t="n">
        <f aca="false">Margin_Structure!K20</f>
        <v>226909</v>
      </c>
      <c r="G964" s="12" t="n">
        <v>226909</v>
      </c>
      <c r="H964" s="10" t="n">
        <f aca="false">F964-G964</f>
        <v>0</v>
      </c>
      <c r="I964" s="10" t="str">
        <f aca="false">IF(ABS(H964)&lt;=0.000001,"PASS","FAIL")</f>
        <v>PASS</v>
      </c>
      <c r="J964" s="10" t="s">
        <v>3432</v>
      </c>
    </row>
    <row r="965" customFormat="false" ht="15" hidden="false" customHeight="false" outlineLevel="0" collapsed="false">
      <c r="A965" s="10" t="s">
        <v>3433</v>
      </c>
      <c r="B965" s="10" t="s">
        <v>1104</v>
      </c>
      <c r="C965" s="10" t="s">
        <v>3434</v>
      </c>
      <c r="D965" s="10" t="s">
        <v>1136</v>
      </c>
      <c r="E965" s="10" t="s">
        <v>694</v>
      </c>
      <c r="F965" s="22" t="n">
        <f aca="false">Margin_Structure!N20</f>
        <v>56509</v>
      </c>
      <c r="G965" s="12" t="n">
        <v>56509</v>
      </c>
      <c r="H965" s="10" t="n">
        <f aca="false">F965-G965</f>
        <v>0</v>
      </c>
      <c r="I965" s="10" t="str">
        <f aca="false">IF(ABS(H965)&lt;=0.000001,"PASS","FAIL")</f>
        <v>PASS</v>
      </c>
      <c r="J965" s="10" t="s">
        <v>3435</v>
      </c>
    </row>
    <row r="966" customFormat="false" ht="15" hidden="false" customHeight="false" outlineLevel="0" collapsed="false">
      <c r="A966" s="10" t="s">
        <v>3436</v>
      </c>
      <c r="B966" s="10" t="s">
        <v>1104</v>
      </c>
      <c r="C966" s="10" t="s">
        <v>3437</v>
      </c>
      <c r="D966" s="10" t="s">
        <v>1136</v>
      </c>
      <c r="E966" s="10" t="s">
        <v>695</v>
      </c>
      <c r="F966" s="22" t="n">
        <f aca="false">Margin_Structure!Q20</f>
        <v>42973</v>
      </c>
      <c r="G966" s="12" t="n">
        <v>42973</v>
      </c>
      <c r="H966" s="10" t="n">
        <f aca="false">F966-G966</f>
        <v>0</v>
      </c>
      <c r="I966" s="10" t="str">
        <f aca="false">IF(ABS(H966)&lt;=0.000001,"PASS","FAIL")</f>
        <v>PASS</v>
      </c>
      <c r="J966" s="10" t="s">
        <v>3438</v>
      </c>
    </row>
    <row r="967" customFormat="false" ht="15" hidden="false" customHeight="false" outlineLevel="0" collapsed="false">
      <c r="A967" s="10" t="s">
        <v>3439</v>
      </c>
      <c r="B967" s="10" t="s">
        <v>1104</v>
      </c>
      <c r="C967" s="10" t="s">
        <v>3440</v>
      </c>
      <c r="D967" s="10" t="s">
        <v>1136</v>
      </c>
      <c r="E967" s="10" t="s">
        <v>696</v>
      </c>
      <c r="F967" s="22" t="n">
        <f aca="false">Margin_Structure!T20</f>
        <v>140284</v>
      </c>
      <c r="G967" s="12" t="n">
        <v>140284</v>
      </c>
      <c r="H967" s="10" t="n">
        <f aca="false">F967-G967</f>
        <v>0</v>
      </c>
      <c r="I967" s="10" t="str">
        <f aca="false">IF(ABS(H967)&lt;=0.000001,"PASS","FAIL")</f>
        <v>PASS</v>
      </c>
      <c r="J967" s="10" t="s">
        <v>3441</v>
      </c>
    </row>
    <row r="968" customFormat="false" ht="15" hidden="false" customHeight="false" outlineLevel="0" collapsed="false">
      <c r="A968" s="10" t="s">
        <v>3442</v>
      </c>
      <c r="B968" s="10" t="s">
        <v>1104</v>
      </c>
      <c r="C968" s="10" t="s">
        <v>3443</v>
      </c>
      <c r="D968" s="10" t="s">
        <v>1136</v>
      </c>
      <c r="E968" s="10" t="s">
        <v>697</v>
      </c>
      <c r="F968" s="22" t="n">
        <f aca="false">Margin_Structure!W20</f>
        <v>130339</v>
      </c>
      <c r="G968" s="12" t="n">
        <v>130339</v>
      </c>
      <c r="H968" s="10" t="n">
        <f aca="false">F968-G968</f>
        <v>0</v>
      </c>
      <c r="I968" s="10" t="str">
        <f aca="false">IF(ABS(H968)&lt;=0.000001,"PASS","FAIL")</f>
        <v>PASS</v>
      </c>
      <c r="J968" s="10" t="s">
        <v>3444</v>
      </c>
    </row>
    <row r="969" customFormat="false" ht="15" hidden="false" customHeight="false" outlineLevel="0" collapsed="false">
      <c r="A969" s="10" t="s">
        <v>3445</v>
      </c>
      <c r="B969" s="10" t="s">
        <v>1104</v>
      </c>
      <c r="C969" s="10" t="s">
        <v>3446</v>
      </c>
      <c r="D969" s="10" t="s">
        <v>1136</v>
      </c>
      <c r="E969" s="10" t="s">
        <v>698</v>
      </c>
      <c r="F969" s="22" t="n">
        <f aca="false">Margin_Structure!Z20</f>
        <v>55637</v>
      </c>
      <c r="G969" s="12" t="n">
        <v>55637</v>
      </c>
      <c r="H969" s="10" t="n">
        <f aca="false">F969-G969</f>
        <v>0</v>
      </c>
      <c r="I969" s="10" t="str">
        <f aca="false">IF(ABS(H969)&lt;=0.000001,"PASS","FAIL")</f>
        <v>PASS</v>
      </c>
      <c r="J969" s="10" t="s">
        <v>3447</v>
      </c>
    </row>
    <row r="970" customFormat="false" ht="15" hidden="false" customHeight="false" outlineLevel="0" collapsed="false">
      <c r="A970" s="10" t="s">
        <v>3448</v>
      </c>
      <c r="B970" s="10" t="s">
        <v>1104</v>
      </c>
      <c r="C970" s="10" t="s">
        <v>3449</v>
      </c>
      <c r="D970" s="10" t="s">
        <v>1136</v>
      </c>
      <c r="E970" s="10" t="s">
        <v>699</v>
      </c>
      <c r="F970" s="22" t="n">
        <f aca="false">Margin_Structure!AC20</f>
        <v>21417</v>
      </c>
      <c r="G970" s="12" t="n">
        <v>21417</v>
      </c>
      <c r="H970" s="10" t="n">
        <f aca="false">F970-G970</f>
        <v>0</v>
      </c>
      <c r="I970" s="10" t="str">
        <f aca="false">IF(ABS(H970)&lt;=0.000001,"PASS","FAIL")</f>
        <v>PASS</v>
      </c>
      <c r="J970" s="10" t="s">
        <v>3450</v>
      </c>
    </row>
    <row r="971" customFormat="false" ht="15" hidden="false" customHeight="false" outlineLevel="0" collapsed="false">
      <c r="A971" s="10" t="s">
        <v>3451</v>
      </c>
      <c r="B971" s="10" t="s">
        <v>1104</v>
      </c>
      <c r="C971" s="10" t="s">
        <v>3452</v>
      </c>
      <c r="D971" s="10" t="s">
        <v>1136</v>
      </c>
      <c r="E971" s="10" t="s">
        <v>700</v>
      </c>
      <c r="F971" s="22" t="n">
        <f aca="false">Margin_Structure!AF20</f>
        <v>-27402</v>
      </c>
      <c r="G971" s="12" t="n">
        <v>-27402</v>
      </c>
      <c r="H971" s="10" t="n">
        <f aca="false">F971-G971</f>
        <v>0</v>
      </c>
      <c r="I971" s="10" t="str">
        <f aca="false">IF(ABS(H971)&lt;=0.000001,"PASS","FAIL")</f>
        <v>PASS</v>
      </c>
      <c r="J971" s="10" t="s">
        <v>3453</v>
      </c>
    </row>
    <row r="972" customFormat="false" ht="15" hidden="false" customHeight="false" outlineLevel="0" collapsed="false">
      <c r="A972" s="10" t="s">
        <v>3454</v>
      </c>
      <c r="B972" s="10" t="s">
        <v>1104</v>
      </c>
      <c r="C972" s="10" t="s">
        <v>3455</v>
      </c>
      <c r="D972" s="10" t="s">
        <v>1136</v>
      </c>
      <c r="E972" s="10" t="s">
        <v>177</v>
      </c>
      <c r="F972" s="22" t="n">
        <f aca="false">Margin_Structure!AI20</f>
        <v>32180</v>
      </c>
      <c r="G972" s="12" t="n">
        <v>32180</v>
      </c>
      <c r="H972" s="10" t="n">
        <f aca="false">F972-G972</f>
        <v>0</v>
      </c>
      <c r="I972" s="10" t="str">
        <f aca="false">IF(ABS(H972)&lt;=0.000001,"PASS","FAIL")</f>
        <v>PASS</v>
      </c>
      <c r="J972" s="10" t="s">
        <v>3456</v>
      </c>
    </row>
    <row r="973" customFormat="false" ht="15" hidden="false" customHeight="false" outlineLevel="0" collapsed="false">
      <c r="A973" s="10" t="s">
        <v>3457</v>
      </c>
      <c r="B973" s="10" t="s">
        <v>1104</v>
      </c>
      <c r="C973" s="10" t="s">
        <v>3458</v>
      </c>
      <c r="D973" s="10" t="s">
        <v>1136</v>
      </c>
      <c r="E973" s="10" t="s">
        <v>119</v>
      </c>
      <c r="F973" s="22" t="n">
        <f aca="false">Margin_Structure!E21</f>
        <v>267976</v>
      </c>
      <c r="G973" s="12" t="n">
        <v>267976</v>
      </c>
      <c r="H973" s="10" t="n">
        <f aca="false">F973-G973</f>
        <v>0</v>
      </c>
      <c r="I973" s="10" t="str">
        <f aca="false">IF(ABS(H973)&lt;=0.000001,"PASS","FAIL")</f>
        <v>PASS</v>
      </c>
      <c r="J973" s="10" t="s">
        <v>2706</v>
      </c>
    </row>
    <row r="974" customFormat="false" ht="15" hidden="false" customHeight="false" outlineLevel="0" collapsed="false">
      <c r="A974" s="10" t="s">
        <v>3459</v>
      </c>
      <c r="B974" s="10" t="s">
        <v>1104</v>
      </c>
      <c r="C974" s="10" t="s">
        <v>3460</v>
      </c>
      <c r="D974" s="10" t="s">
        <v>1136</v>
      </c>
      <c r="E974" s="10" t="s">
        <v>701</v>
      </c>
      <c r="F974" s="22" t="n">
        <f aca="false">Margin_Structure!H21</f>
        <v>237474</v>
      </c>
      <c r="G974" s="12" t="n">
        <v>237474</v>
      </c>
      <c r="H974" s="10" t="n">
        <f aca="false">F974-G974</f>
        <v>0</v>
      </c>
      <c r="I974" s="10" t="str">
        <f aca="false">IF(ABS(H974)&lt;=0.000001,"PASS","FAIL")</f>
        <v>PASS</v>
      </c>
      <c r="J974" s="10" t="s">
        <v>3461</v>
      </c>
    </row>
    <row r="975" customFormat="false" ht="15" hidden="false" customHeight="false" outlineLevel="0" collapsed="false">
      <c r="A975" s="10" t="s">
        <v>3462</v>
      </c>
      <c r="B975" s="10" t="s">
        <v>1104</v>
      </c>
      <c r="C975" s="10" t="s">
        <v>3463</v>
      </c>
      <c r="D975" s="10" t="s">
        <v>1136</v>
      </c>
      <c r="E975" s="10" t="s">
        <v>702</v>
      </c>
      <c r="F975" s="22" t="n">
        <f aca="false">Margin_Structure!K21</f>
        <v>239080</v>
      </c>
      <c r="G975" s="12" t="n">
        <v>239080</v>
      </c>
      <c r="H975" s="10" t="n">
        <f aca="false">F975-G975</f>
        <v>0</v>
      </c>
      <c r="I975" s="10" t="str">
        <f aca="false">IF(ABS(H975)&lt;=0.000001,"PASS","FAIL")</f>
        <v>PASS</v>
      </c>
      <c r="J975" s="10" t="s">
        <v>3464</v>
      </c>
    </row>
    <row r="976" customFormat="false" ht="15" hidden="false" customHeight="false" outlineLevel="0" collapsed="false">
      <c r="A976" s="10" t="s">
        <v>3465</v>
      </c>
      <c r="B976" s="10" t="s">
        <v>1104</v>
      </c>
      <c r="C976" s="10" t="s">
        <v>3466</v>
      </c>
      <c r="D976" s="10" t="s">
        <v>1136</v>
      </c>
      <c r="E976" s="10" t="s">
        <v>703</v>
      </c>
      <c r="F976" s="22" t="n">
        <f aca="false">Margin_Structure!N21</f>
        <v>62332</v>
      </c>
      <c r="G976" s="12" t="n">
        <v>62332</v>
      </c>
      <c r="H976" s="10" t="n">
        <f aca="false">F976-G976</f>
        <v>0</v>
      </c>
      <c r="I976" s="10" t="str">
        <f aca="false">IF(ABS(H976)&lt;=0.000001,"PASS","FAIL")</f>
        <v>PASS</v>
      </c>
      <c r="J976" s="10" t="s">
        <v>3467</v>
      </c>
    </row>
    <row r="977" customFormat="false" ht="15" hidden="false" customHeight="false" outlineLevel="0" collapsed="false">
      <c r="A977" s="10" t="s">
        <v>3468</v>
      </c>
      <c r="B977" s="10" t="s">
        <v>1104</v>
      </c>
      <c r="C977" s="10" t="s">
        <v>3469</v>
      </c>
      <c r="D977" s="10" t="s">
        <v>1136</v>
      </c>
      <c r="E977" s="10" t="s">
        <v>704</v>
      </c>
      <c r="F977" s="22" t="n">
        <f aca="false">Margin_Structure!Q21</f>
        <v>48066</v>
      </c>
      <c r="G977" s="12" t="n">
        <v>48066</v>
      </c>
      <c r="H977" s="10" t="n">
        <f aca="false">F977-G977</f>
        <v>0</v>
      </c>
      <c r="I977" s="10" t="str">
        <f aca="false">IF(ABS(H977)&lt;=0.000001,"PASS","FAIL")</f>
        <v>PASS</v>
      </c>
      <c r="J977" s="10" t="s">
        <v>3470</v>
      </c>
    </row>
    <row r="978" customFormat="false" ht="15" hidden="false" customHeight="false" outlineLevel="0" collapsed="false">
      <c r="A978" s="10" t="s">
        <v>3471</v>
      </c>
      <c r="B978" s="10" t="s">
        <v>1104</v>
      </c>
      <c r="C978" s="10" t="s">
        <v>3472</v>
      </c>
      <c r="D978" s="10" t="s">
        <v>1136</v>
      </c>
      <c r="E978" s="10" t="s">
        <v>705</v>
      </c>
      <c r="F978" s="22" t="n">
        <f aca="false">Margin_Structure!T21</f>
        <v>133643</v>
      </c>
      <c r="G978" s="12" t="n">
        <v>133643</v>
      </c>
      <c r="H978" s="10" t="n">
        <f aca="false">F978-G978</f>
        <v>0</v>
      </c>
      <c r="I978" s="10" t="str">
        <f aca="false">IF(ABS(H978)&lt;=0.000001,"PASS","FAIL")</f>
        <v>PASS</v>
      </c>
      <c r="J978" s="10" t="s">
        <v>3473</v>
      </c>
    </row>
    <row r="979" customFormat="false" ht="15" hidden="false" customHeight="false" outlineLevel="0" collapsed="false">
      <c r="A979" s="10" t="s">
        <v>3474</v>
      </c>
      <c r="B979" s="10" t="s">
        <v>1104</v>
      </c>
      <c r="C979" s="10" t="s">
        <v>3475</v>
      </c>
      <c r="D979" s="10" t="s">
        <v>1136</v>
      </c>
      <c r="E979" s="10" t="s">
        <v>706</v>
      </c>
      <c r="F979" s="22" t="n">
        <f aca="false">Margin_Structure!W21</f>
        <v>127791</v>
      </c>
      <c r="G979" s="12" t="n">
        <v>127791</v>
      </c>
      <c r="H979" s="10" t="n">
        <f aca="false">F979-G979</f>
        <v>0</v>
      </c>
      <c r="I979" s="10" t="str">
        <f aca="false">IF(ABS(H979)&lt;=0.000001,"PASS","FAIL")</f>
        <v>PASS</v>
      </c>
      <c r="J979" s="10" t="s">
        <v>3476</v>
      </c>
    </row>
    <row r="980" customFormat="false" ht="15" hidden="false" customHeight="false" outlineLevel="0" collapsed="false">
      <c r="A980" s="10" t="s">
        <v>3477</v>
      </c>
      <c r="B980" s="10" t="s">
        <v>1104</v>
      </c>
      <c r="C980" s="10" t="s">
        <v>3478</v>
      </c>
      <c r="D980" s="10" t="s">
        <v>1136</v>
      </c>
      <c r="E980" s="10" t="s">
        <v>707</v>
      </c>
      <c r="F980" s="22" t="n">
        <f aca="false">Margin_Structure!Z21</f>
        <v>31903</v>
      </c>
      <c r="G980" s="12" t="n">
        <v>31903</v>
      </c>
      <c r="H980" s="10" t="n">
        <f aca="false">F980-G980</f>
        <v>0</v>
      </c>
      <c r="I980" s="10" t="str">
        <f aca="false">IF(ABS(H980)&lt;=0.000001,"PASS","FAIL")</f>
        <v>PASS</v>
      </c>
      <c r="J980" s="10" t="s">
        <v>3479</v>
      </c>
    </row>
    <row r="981" customFormat="false" ht="15" hidden="false" customHeight="false" outlineLevel="0" collapsed="false">
      <c r="A981" s="10" t="s">
        <v>3480</v>
      </c>
      <c r="B981" s="10" t="s">
        <v>1104</v>
      </c>
      <c r="C981" s="10" t="s">
        <v>3481</v>
      </c>
      <c r="D981" s="10" t="s">
        <v>1136</v>
      </c>
      <c r="E981" s="10" t="s">
        <v>708</v>
      </c>
      <c r="F981" s="22" t="n">
        <f aca="false">Margin_Structure!AC21</f>
        <v>22958</v>
      </c>
      <c r="G981" s="12" t="n">
        <v>22958</v>
      </c>
      <c r="H981" s="10" t="n">
        <f aca="false">F981-G981</f>
        <v>0</v>
      </c>
      <c r="I981" s="10" t="str">
        <f aca="false">IF(ABS(H981)&lt;=0.000001,"PASS","FAIL")</f>
        <v>PASS</v>
      </c>
      <c r="J981" s="10" t="s">
        <v>3482</v>
      </c>
    </row>
    <row r="982" customFormat="false" ht="15" hidden="false" customHeight="false" outlineLevel="0" collapsed="false">
      <c r="A982" s="10" t="s">
        <v>3483</v>
      </c>
      <c r="B982" s="10" t="s">
        <v>1104</v>
      </c>
      <c r="C982" s="10" t="s">
        <v>3484</v>
      </c>
      <c r="D982" s="10" t="s">
        <v>1136</v>
      </c>
      <c r="E982" s="10" t="s">
        <v>709</v>
      </c>
      <c r="F982" s="22" t="n">
        <f aca="false">Margin_Structure!AF21</f>
        <v>9596</v>
      </c>
      <c r="G982" s="12" t="n">
        <v>9596</v>
      </c>
      <c r="H982" s="10" t="n">
        <f aca="false">F982-G982</f>
        <v>0</v>
      </c>
      <c r="I982" s="10" t="str">
        <f aca="false">IF(ABS(H982)&lt;=0.000001,"PASS","FAIL")</f>
        <v>PASS</v>
      </c>
      <c r="J982" s="10" t="s">
        <v>3485</v>
      </c>
    </row>
    <row r="983" customFormat="false" ht="15" hidden="false" customHeight="false" outlineLevel="0" collapsed="false">
      <c r="A983" s="10" t="s">
        <v>3486</v>
      </c>
      <c r="B983" s="10" t="s">
        <v>1104</v>
      </c>
      <c r="C983" s="10" t="s">
        <v>3487</v>
      </c>
      <c r="D983" s="10" t="s">
        <v>1136</v>
      </c>
      <c r="E983" s="10" t="s">
        <v>179</v>
      </c>
      <c r="F983" s="22" t="n">
        <f aca="false">Margin_Structure!AI21</f>
        <v>40265</v>
      </c>
      <c r="G983" s="12" t="n">
        <v>40265</v>
      </c>
      <c r="H983" s="10" t="n">
        <f aca="false">F983-G983</f>
        <v>0</v>
      </c>
      <c r="I983" s="10" t="str">
        <f aca="false">IF(ABS(H983)&lt;=0.000001,"PASS","FAIL")</f>
        <v>PASS</v>
      </c>
      <c r="J983" s="10" t="s">
        <v>3488</v>
      </c>
    </row>
    <row r="984" customFormat="false" ht="15" hidden="false" customHeight="false" outlineLevel="0" collapsed="false">
      <c r="A984" s="10" t="s">
        <v>3489</v>
      </c>
      <c r="B984" s="10" t="s">
        <v>1104</v>
      </c>
      <c r="C984" s="10" t="s">
        <v>3490</v>
      </c>
      <c r="D984" s="10" t="s">
        <v>1136</v>
      </c>
      <c r="E984" s="10" t="s">
        <v>123</v>
      </c>
      <c r="F984" s="22" t="n">
        <f aca="false">Margin_Structure!E22</f>
        <v>282250</v>
      </c>
      <c r="G984" s="12" t="n">
        <v>282250</v>
      </c>
      <c r="H984" s="10" t="n">
        <f aca="false">F984-G984</f>
        <v>0</v>
      </c>
      <c r="I984" s="10" t="str">
        <f aca="false">IF(ABS(H984)&lt;=0.000001,"PASS","FAIL")</f>
        <v>PASS</v>
      </c>
      <c r="J984" s="10" t="s">
        <v>2745</v>
      </c>
    </row>
    <row r="985" customFormat="false" ht="15" hidden="false" customHeight="false" outlineLevel="0" collapsed="false">
      <c r="A985" s="10" t="s">
        <v>3491</v>
      </c>
      <c r="B985" s="10" t="s">
        <v>1104</v>
      </c>
      <c r="C985" s="10" t="s">
        <v>3492</v>
      </c>
      <c r="D985" s="10" t="s">
        <v>1136</v>
      </c>
      <c r="E985" s="10" t="s">
        <v>710</v>
      </c>
      <c r="F985" s="22" t="n">
        <f aca="false">Margin_Structure!H22</f>
        <v>253445</v>
      </c>
      <c r="G985" s="12" t="n">
        <v>253445</v>
      </c>
      <c r="H985" s="10" t="n">
        <f aca="false">F985-G985</f>
        <v>0</v>
      </c>
      <c r="I985" s="10" t="str">
        <f aca="false">IF(ABS(H985)&lt;=0.000001,"PASS","FAIL")</f>
        <v>PASS</v>
      </c>
      <c r="J985" s="10" t="s">
        <v>3493</v>
      </c>
    </row>
    <row r="986" customFormat="false" ht="15" hidden="false" customHeight="false" outlineLevel="0" collapsed="false">
      <c r="A986" s="10" t="s">
        <v>3494</v>
      </c>
      <c r="B986" s="10" t="s">
        <v>1104</v>
      </c>
      <c r="C986" s="10" t="s">
        <v>3495</v>
      </c>
      <c r="D986" s="10" t="s">
        <v>1136</v>
      </c>
      <c r="E986" s="10" t="s">
        <v>711</v>
      </c>
      <c r="F986" s="22" t="n">
        <f aca="false">Margin_Structure!K22</f>
        <v>254579</v>
      </c>
      <c r="G986" s="12" t="n">
        <v>254579</v>
      </c>
      <c r="H986" s="10" t="n">
        <f aca="false">F986-G986</f>
        <v>0</v>
      </c>
      <c r="I986" s="10" t="str">
        <f aca="false">IF(ABS(H986)&lt;=0.000001,"PASS","FAIL")</f>
        <v>PASS</v>
      </c>
      <c r="J986" s="10" t="s">
        <v>3496</v>
      </c>
    </row>
    <row r="987" customFormat="false" ht="15" hidden="false" customHeight="false" outlineLevel="0" collapsed="false">
      <c r="A987" s="10" t="s">
        <v>3497</v>
      </c>
      <c r="B987" s="10" t="s">
        <v>1104</v>
      </c>
      <c r="C987" s="10" t="s">
        <v>3498</v>
      </c>
      <c r="D987" s="10" t="s">
        <v>1136</v>
      </c>
      <c r="E987" s="10" t="s">
        <v>712</v>
      </c>
      <c r="F987" s="22" t="n">
        <f aca="false">Margin_Structure!N22</f>
        <v>69385</v>
      </c>
      <c r="G987" s="12" t="n">
        <v>69385</v>
      </c>
      <c r="H987" s="10" t="n">
        <f aca="false">F987-G987</f>
        <v>0</v>
      </c>
      <c r="I987" s="10" t="str">
        <f aca="false">IF(ABS(H987)&lt;=0.000001,"PASS","FAIL")</f>
        <v>PASS</v>
      </c>
      <c r="J987" s="10" t="s">
        <v>3499</v>
      </c>
    </row>
    <row r="988" customFormat="false" ht="15" hidden="false" customHeight="false" outlineLevel="0" collapsed="false">
      <c r="A988" s="10" t="s">
        <v>3500</v>
      </c>
      <c r="B988" s="10" t="s">
        <v>1104</v>
      </c>
      <c r="C988" s="10" t="s">
        <v>3501</v>
      </c>
      <c r="D988" s="10" t="s">
        <v>1136</v>
      </c>
      <c r="E988" s="10" t="s">
        <v>713</v>
      </c>
      <c r="F988" s="22" t="n">
        <f aca="false">Margin_Structure!Q22</f>
        <v>53844</v>
      </c>
      <c r="G988" s="12" t="n">
        <v>53844</v>
      </c>
      <c r="H988" s="10" t="n">
        <f aca="false">F988-G988</f>
        <v>0</v>
      </c>
      <c r="I988" s="10" t="str">
        <f aca="false">IF(ABS(H988)&lt;=0.000001,"PASS","FAIL")</f>
        <v>PASS</v>
      </c>
      <c r="J988" s="10" t="s">
        <v>3502</v>
      </c>
    </row>
    <row r="989" customFormat="false" ht="15" hidden="false" customHeight="false" outlineLevel="0" collapsed="false">
      <c r="A989" s="10" t="s">
        <v>3503</v>
      </c>
      <c r="B989" s="10" t="s">
        <v>1104</v>
      </c>
      <c r="C989" s="10" t="s">
        <v>3504</v>
      </c>
      <c r="D989" s="10" t="s">
        <v>1136</v>
      </c>
      <c r="E989" s="10" t="s">
        <v>714</v>
      </c>
      <c r="F989" s="22" t="n">
        <f aca="false">Margin_Structure!T22</f>
        <v>141720</v>
      </c>
      <c r="G989" s="12" t="n">
        <v>141720</v>
      </c>
      <c r="H989" s="10" t="n">
        <f aca="false">F989-G989</f>
        <v>0</v>
      </c>
      <c r="I989" s="10" t="str">
        <f aca="false">IF(ABS(H989)&lt;=0.000001,"PASS","FAIL")</f>
        <v>PASS</v>
      </c>
      <c r="J989" s="10" t="s">
        <v>3505</v>
      </c>
    </row>
    <row r="990" customFormat="false" ht="15" hidden="false" customHeight="false" outlineLevel="0" collapsed="false">
      <c r="A990" s="10" t="s">
        <v>3506</v>
      </c>
      <c r="B990" s="10" t="s">
        <v>1104</v>
      </c>
      <c r="C990" s="10" t="s">
        <v>3507</v>
      </c>
      <c r="D990" s="10" t="s">
        <v>1136</v>
      </c>
      <c r="E990" s="10" t="s">
        <v>715</v>
      </c>
      <c r="F990" s="22" t="n">
        <f aca="false">Margin_Structure!W22</f>
        <v>135882</v>
      </c>
      <c r="G990" s="12" t="n">
        <v>135882</v>
      </c>
      <c r="H990" s="10" t="n">
        <f aca="false">F990-G990</f>
        <v>0</v>
      </c>
      <c r="I990" s="10" t="str">
        <f aca="false">IF(ABS(H990)&lt;=0.000001,"PASS","FAIL")</f>
        <v>PASS</v>
      </c>
      <c r="J990" s="10" t="s">
        <v>3508</v>
      </c>
    </row>
    <row r="991" customFormat="false" ht="15" hidden="false" customHeight="false" outlineLevel="0" collapsed="false">
      <c r="A991" s="10" t="s">
        <v>3509</v>
      </c>
      <c r="B991" s="10" t="s">
        <v>1104</v>
      </c>
      <c r="C991" s="10" t="s">
        <v>3510</v>
      </c>
      <c r="D991" s="10" t="s">
        <v>1136</v>
      </c>
      <c r="E991" s="10" t="s">
        <v>716</v>
      </c>
      <c r="F991" s="22" t="n">
        <f aca="false">Margin_Structure!Z22</f>
        <v>32544</v>
      </c>
      <c r="G991" s="12" t="n">
        <v>32544</v>
      </c>
      <c r="H991" s="10" t="n">
        <f aca="false">F991-G991</f>
        <v>0</v>
      </c>
      <c r="I991" s="10" t="str">
        <f aca="false">IF(ABS(H991)&lt;=0.000001,"PASS","FAIL")</f>
        <v>PASS</v>
      </c>
      <c r="J991" s="10" t="s">
        <v>3511</v>
      </c>
    </row>
    <row r="992" customFormat="false" ht="15" hidden="false" customHeight="false" outlineLevel="0" collapsed="false">
      <c r="A992" s="10" t="s">
        <v>3512</v>
      </c>
      <c r="B992" s="10" t="s">
        <v>1104</v>
      </c>
      <c r="C992" s="10" t="s">
        <v>3513</v>
      </c>
      <c r="D992" s="10" t="s">
        <v>1136</v>
      </c>
      <c r="E992" s="10" t="s">
        <v>717</v>
      </c>
      <c r="F992" s="22" t="n">
        <f aca="false">Margin_Structure!AC22</f>
        <v>24099</v>
      </c>
      <c r="G992" s="12" t="n">
        <v>24099</v>
      </c>
      <c r="H992" s="10" t="n">
        <f aca="false">F992-G992</f>
        <v>0</v>
      </c>
      <c r="I992" s="10" t="str">
        <f aca="false">IF(ABS(H992)&lt;=0.000001,"PASS","FAIL")</f>
        <v>PASS</v>
      </c>
      <c r="J992" s="10" t="s">
        <v>3514</v>
      </c>
    </row>
    <row r="993" customFormat="false" ht="15" hidden="false" customHeight="false" outlineLevel="0" collapsed="false">
      <c r="A993" s="10" t="s">
        <v>3515</v>
      </c>
      <c r="B993" s="10" t="s">
        <v>1104</v>
      </c>
      <c r="C993" s="10" t="s">
        <v>3516</v>
      </c>
      <c r="D993" s="10" t="s">
        <v>1136</v>
      </c>
      <c r="E993" s="10" t="s">
        <v>718</v>
      </c>
      <c r="F993" s="22" t="n">
        <f aca="false">Margin_Structure!AF22</f>
        <v>9796</v>
      </c>
      <c r="G993" s="12" t="n">
        <v>9796</v>
      </c>
      <c r="H993" s="10" t="n">
        <f aca="false">F993-G993</f>
        <v>0</v>
      </c>
      <c r="I993" s="10" t="str">
        <f aca="false">IF(ABS(H993)&lt;=0.000001,"PASS","FAIL")</f>
        <v>PASS</v>
      </c>
      <c r="J993" s="10" t="s">
        <v>3517</v>
      </c>
    </row>
    <row r="994" customFormat="false" ht="15" hidden="false" customHeight="false" outlineLevel="0" collapsed="false">
      <c r="A994" s="10" t="s">
        <v>3518</v>
      </c>
      <c r="B994" s="10" t="s">
        <v>1104</v>
      </c>
      <c r="C994" s="10" t="s">
        <v>3519</v>
      </c>
      <c r="D994" s="10" t="s">
        <v>1136</v>
      </c>
      <c r="E994" s="10" t="s">
        <v>181</v>
      </c>
      <c r="F994" s="22" t="n">
        <f aca="false">Margin_Structure!AI22</f>
        <v>40754</v>
      </c>
      <c r="G994" s="12" t="n">
        <v>40754</v>
      </c>
      <c r="H994" s="10" t="n">
        <f aca="false">F994-G994</f>
        <v>0</v>
      </c>
      <c r="I994" s="10" t="str">
        <f aca="false">IF(ABS(H994)&lt;=0.000001,"PASS","FAIL")</f>
        <v>PASS</v>
      </c>
      <c r="J994" s="10" t="s">
        <v>3520</v>
      </c>
    </row>
    <row r="995" customFormat="false" ht="15" hidden="false" customHeight="false" outlineLevel="0" collapsed="false">
      <c r="A995" s="10" t="s">
        <v>3521</v>
      </c>
      <c r="B995" s="10" t="s">
        <v>1104</v>
      </c>
      <c r="C995" s="10" t="s">
        <v>3522</v>
      </c>
      <c r="D995" s="10" t="s">
        <v>1136</v>
      </c>
      <c r="E995" s="10" t="s">
        <v>127</v>
      </c>
      <c r="F995" s="22" t="n">
        <f aca="false">Margin_Structure!E23</f>
        <v>299014</v>
      </c>
      <c r="G995" s="12" t="n">
        <v>299014</v>
      </c>
      <c r="H995" s="10" t="n">
        <f aca="false">F995-G995</f>
        <v>0</v>
      </c>
      <c r="I995" s="10" t="str">
        <f aca="false">IF(ABS(H995)&lt;=0.000001,"PASS","FAIL")</f>
        <v>PASS</v>
      </c>
      <c r="J995" s="10" t="s">
        <v>2784</v>
      </c>
    </row>
    <row r="996" customFormat="false" ht="15" hidden="false" customHeight="false" outlineLevel="0" collapsed="false">
      <c r="A996" s="10" t="s">
        <v>3523</v>
      </c>
      <c r="B996" s="10" t="s">
        <v>1104</v>
      </c>
      <c r="C996" s="10" t="s">
        <v>3524</v>
      </c>
      <c r="D996" s="10" t="s">
        <v>1136</v>
      </c>
      <c r="E996" s="10" t="s">
        <v>719</v>
      </c>
      <c r="F996" s="22" t="n">
        <f aca="false">Margin_Structure!H23</f>
        <v>267841</v>
      </c>
      <c r="G996" s="12" t="n">
        <v>267841</v>
      </c>
      <c r="H996" s="10" t="n">
        <f aca="false">F996-G996</f>
        <v>0</v>
      </c>
      <c r="I996" s="10" t="str">
        <f aca="false">IF(ABS(H996)&lt;=0.000001,"PASS","FAIL")</f>
        <v>PASS</v>
      </c>
      <c r="J996" s="10" t="s">
        <v>3525</v>
      </c>
    </row>
    <row r="997" customFormat="false" ht="15" hidden="false" customHeight="false" outlineLevel="0" collapsed="false">
      <c r="A997" s="10" t="s">
        <v>3526</v>
      </c>
      <c r="B997" s="10" t="s">
        <v>1104</v>
      </c>
      <c r="C997" s="10" t="s">
        <v>3527</v>
      </c>
      <c r="D997" s="10" t="s">
        <v>1136</v>
      </c>
      <c r="E997" s="10" t="s">
        <v>720</v>
      </c>
      <c r="F997" s="22" t="n">
        <f aca="false">Margin_Structure!K23</f>
        <v>270113</v>
      </c>
      <c r="G997" s="12" t="n">
        <v>270113</v>
      </c>
      <c r="H997" s="10" t="n">
        <f aca="false">F997-G997</f>
        <v>0</v>
      </c>
      <c r="I997" s="10" t="str">
        <f aca="false">IF(ABS(H997)&lt;=0.000001,"PASS","FAIL")</f>
        <v>PASS</v>
      </c>
      <c r="J997" s="10" t="s">
        <v>3528</v>
      </c>
    </row>
    <row r="998" customFormat="false" ht="15" hidden="false" customHeight="false" outlineLevel="0" collapsed="false">
      <c r="A998" s="10" t="s">
        <v>3529</v>
      </c>
      <c r="B998" s="10" t="s">
        <v>1104</v>
      </c>
      <c r="C998" s="10" t="s">
        <v>3530</v>
      </c>
      <c r="D998" s="10" t="s">
        <v>1136</v>
      </c>
      <c r="E998" s="10" t="s">
        <v>721</v>
      </c>
      <c r="F998" s="22" t="n">
        <f aca="false">Margin_Structure!N23</f>
        <v>87039</v>
      </c>
      <c r="G998" s="12" t="n">
        <v>87039</v>
      </c>
      <c r="H998" s="10" t="n">
        <f aca="false">F998-G998</f>
        <v>0</v>
      </c>
      <c r="I998" s="10" t="str">
        <f aca="false">IF(ABS(H998)&lt;=0.000001,"PASS","FAIL")</f>
        <v>PASS</v>
      </c>
      <c r="J998" s="10" t="s">
        <v>3531</v>
      </c>
    </row>
    <row r="999" customFormat="false" ht="15" hidden="false" customHeight="false" outlineLevel="0" collapsed="false">
      <c r="A999" s="10" t="s">
        <v>3532</v>
      </c>
      <c r="B999" s="10" t="s">
        <v>1104</v>
      </c>
      <c r="C999" s="10" t="s">
        <v>3533</v>
      </c>
      <c r="D999" s="10" t="s">
        <v>1136</v>
      </c>
      <c r="E999" s="10" t="s">
        <v>722</v>
      </c>
      <c r="F999" s="22" t="n">
        <f aca="false">Margin_Structure!Q23</f>
        <v>59233</v>
      </c>
      <c r="G999" s="12" t="n">
        <v>59233</v>
      </c>
      <c r="H999" s="10" t="n">
        <f aca="false">F999-G999</f>
        <v>0</v>
      </c>
      <c r="I999" s="10" t="str">
        <f aca="false">IF(ABS(H999)&lt;=0.000001,"PASS","FAIL")</f>
        <v>PASS</v>
      </c>
      <c r="J999" s="10" t="s">
        <v>3534</v>
      </c>
    </row>
    <row r="1000" customFormat="false" ht="15" hidden="false" customHeight="false" outlineLevel="0" collapsed="false">
      <c r="A1000" s="10" t="s">
        <v>3535</v>
      </c>
      <c r="B1000" s="10" t="s">
        <v>1104</v>
      </c>
      <c r="C1000" s="10" t="s">
        <v>3536</v>
      </c>
      <c r="D1000" s="10" t="s">
        <v>1136</v>
      </c>
      <c r="E1000" s="10" t="s">
        <v>723</v>
      </c>
      <c r="F1000" s="22" t="n">
        <f aca="false">Margin_Structure!T23</f>
        <v>152590</v>
      </c>
      <c r="G1000" s="12" t="n">
        <v>152590</v>
      </c>
      <c r="H1000" s="10" t="n">
        <f aca="false">F1000-G1000</f>
        <v>0</v>
      </c>
      <c r="I1000" s="10" t="str">
        <f aca="false">IF(ABS(H1000)&lt;=0.000001,"PASS","FAIL")</f>
        <v>PASS</v>
      </c>
      <c r="J1000" s="10" t="s">
        <v>3537</v>
      </c>
    </row>
    <row r="1001" customFormat="false" ht="15" hidden="false" customHeight="false" outlineLevel="0" collapsed="false">
      <c r="A1001" s="10" t="s">
        <v>3538</v>
      </c>
      <c r="B1001" s="10" t="s">
        <v>1104</v>
      </c>
      <c r="C1001" s="10" t="s">
        <v>3539</v>
      </c>
      <c r="D1001" s="10" t="s">
        <v>1136</v>
      </c>
      <c r="E1001" s="10" t="s">
        <v>724</v>
      </c>
      <c r="F1001" s="22" t="n">
        <f aca="false">Margin_Structure!W23</f>
        <v>139223</v>
      </c>
      <c r="G1001" s="12" t="n">
        <v>139223</v>
      </c>
      <c r="H1001" s="10" t="n">
        <f aca="false">F1001-G1001</f>
        <v>0</v>
      </c>
      <c r="I1001" s="10" t="str">
        <f aca="false">IF(ABS(H1001)&lt;=0.000001,"PASS","FAIL")</f>
        <v>PASS</v>
      </c>
      <c r="J1001" s="10" t="s">
        <v>3540</v>
      </c>
    </row>
    <row r="1002" customFormat="false" ht="15" hidden="false" customHeight="false" outlineLevel="0" collapsed="false">
      <c r="A1002" s="10" t="s">
        <v>3541</v>
      </c>
      <c r="B1002" s="10" t="s">
        <v>1104</v>
      </c>
      <c r="C1002" s="10" t="s">
        <v>3542</v>
      </c>
      <c r="D1002" s="10" t="s">
        <v>1136</v>
      </c>
      <c r="E1002" s="10" t="s">
        <v>725</v>
      </c>
      <c r="F1002" s="22" t="n">
        <f aca="false">Margin_Structure!Z23</f>
        <v>39763</v>
      </c>
      <c r="G1002" s="12" t="n">
        <v>39763</v>
      </c>
      <c r="H1002" s="10" t="n">
        <f aca="false">F1002-G1002</f>
        <v>0</v>
      </c>
      <c r="I1002" s="10" t="str">
        <f aca="false">IF(ABS(H1002)&lt;=0.000001,"PASS","FAIL")</f>
        <v>PASS</v>
      </c>
      <c r="J1002" s="10" t="s">
        <v>3543</v>
      </c>
    </row>
    <row r="1003" customFormat="false" ht="15" hidden="false" customHeight="false" outlineLevel="0" collapsed="false">
      <c r="A1003" s="10" t="s">
        <v>3544</v>
      </c>
      <c r="B1003" s="10" t="s">
        <v>1104</v>
      </c>
      <c r="C1003" s="10" t="s">
        <v>3545</v>
      </c>
      <c r="D1003" s="10" t="s">
        <v>1136</v>
      </c>
      <c r="E1003" s="10" t="s">
        <v>726</v>
      </c>
      <c r="F1003" s="22" t="n">
        <f aca="false">Margin_Structure!AC23</f>
        <v>26563</v>
      </c>
      <c r="G1003" s="12" t="n">
        <v>26563</v>
      </c>
      <c r="H1003" s="10" t="n">
        <f aca="false">F1003-G1003</f>
        <v>0</v>
      </c>
      <c r="I1003" s="10" t="str">
        <f aca="false">IF(ABS(H1003)&lt;=0.000001,"PASS","FAIL")</f>
        <v>PASS</v>
      </c>
      <c r="J1003" s="10" t="s">
        <v>3546</v>
      </c>
    </row>
    <row r="1004" customFormat="false" ht="15" hidden="false" customHeight="false" outlineLevel="0" collapsed="false">
      <c r="A1004" s="10" t="s">
        <v>3547</v>
      </c>
      <c r="B1004" s="10" t="s">
        <v>1104</v>
      </c>
      <c r="C1004" s="10" t="s">
        <v>3548</v>
      </c>
      <c r="D1004" s="10" t="s">
        <v>1136</v>
      </c>
      <c r="E1004" s="10" t="s">
        <v>727</v>
      </c>
      <c r="F1004" s="22" t="n">
        <f aca="false">Margin_Structure!AF23</f>
        <v>-11551</v>
      </c>
      <c r="G1004" s="12" t="n">
        <v>-11551</v>
      </c>
      <c r="H1004" s="10" t="n">
        <f aca="false">F1004-G1004</f>
        <v>0</v>
      </c>
      <c r="I1004" s="10" t="str">
        <f aca="false">IF(ABS(H1004)&lt;=0.000001,"PASS","FAIL")</f>
        <v>PASS</v>
      </c>
      <c r="J1004" s="10" t="s">
        <v>3549</v>
      </c>
    </row>
    <row r="1005" customFormat="false" ht="15" hidden="false" customHeight="false" outlineLevel="0" collapsed="false">
      <c r="A1005" s="10" t="s">
        <v>3550</v>
      </c>
      <c r="B1005" s="10" t="s">
        <v>1104</v>
      </c>
      <c r="C1005" s="10" t="s">
        <v>3551</v>
      </c>
      <c r="D1005" s="10" t="s">
        <v>1136</v>
      </c>
      <c r="E1005" s="10" t="s">
        <v>183</v>
      </c>
      <c r="F1005" s="22" t="n">
        <f aca="false">Margin_Structure!AI23</f>
        <v>45094</v>
      </c>
      <c r="G1005" s="12" t="n">
        <v>45094</v>
      </c>
      <c r="H1005" s="10" t="n">
        <f aca="false">F1005-G1005</f>
        <v>0</v>
      </c>
      <c r="I1005" s="10" t="str">
        <f aca="false">IF(ABS(H1005)&lt;=0.000001,"PASS","FAIL")</f>
        <v>PASS</v>
      </c>
      <c r="J1005" s="10" t="s">
        <v>3552</v>
      </c>
    </row>
    <row r="1006" customFormat="false" ht="15" hidden="false" customHeight="false" outlineLevel="0" collapsed="false">
      <c r="A1006" s="10" t="s">
        <v>3553</v>
      </c>
      <c r="B1006" s="10" t="s">
        <v>1104</v>
      </c>
      <c r="C1006" s="10" t="s">
        <v>3554</v>
      </c>
      <c r="D1006" s="10" t="s">
        <v>1136</v>
      </c>
      <c r="E1006" s="10" t="s">
        <v>131</v>
      </c>
      <c r="F1006" s="22" t="n">
        <f aca="false">Margin_Structure!E24</f>
        <v>316855</v>
      </c>
      <c r="G1006" s="12" t="n">
        <v>316855</v>
      </c>
      <c r="H1006" s="10" t="n">
        <f aca="false">F1006-G1006</f>
        <v>0</v>
      </c>
      <c r="I1006" s="10" t="str">
        <f aca="false">IF(ABS(H1006)&lt;=0.000001,"PASS","FAIL")</f>
        <v>PASS</v>
      </c>
      <c r="J1006" s="10" t="s">
        <v>2823</v>
      </c>
    </row>
    <row r="1007" customFormat="false" ht="15" hidden="false" customHeight="false" outlineLevel="0" collapsed="false">
      <c r="A1007" s="10" t="s">
        <v>3555</v>
      </c>
      <c r="B1007" s="10" t="s">
        <v>1104</v>
      </c>
      <c r="C1007" s="10" t="s">
        <v>3556</v>
      </c>
      <c r="D1007" s="10" t="s">
        <v>1136</v>
      </c>
      <c r="E1007" s="10" t="s">
        <v>728</v>
      </c>
      <c r="F1007" s="22" t="n">
        <f aca="false">Margin_Structure!H24</f>
        <v>281067</v>
      </c>
      <c r="G1007" s="12" t="n">
        <v>281067</v>
      </c>
      <c r="H1007" s="10" t="n">
        <f aca="false">F1007-G1007</f>
        <v>0</v>
      </c>
      <c r="I1007" s="10" t="str">
        <f aca="false">IF(ABS(H1007)&lt;=0.000001,"PASS","FAIL")</f>
        <v>PASS</v>
      </c>
      <c r="J1007" s="10" t="s">
        <v>3557</v>
      </c>
    </row>
    <row r="1008" customFormat="false" ht="15" hidden="false" customHeight="false" outlineLevel="0" collapsed="false">
      <c r="A1008" s="10" t="s">
        <v>3558</v>
      </c>
      <c r="B1008" s="10" t="s">
        <v>1104</v>
      </c>
      <c r="C1008" s="10" t="s">
        <v>3559</v>
      </c>
      <c r="D1008" s="10" t="s">
        <v>1136</v>
      </c>
      <c r="E1008" s="10" t="s">
        <v>729</v>
      </c>
      <c r="F1008" s="22" t="n">
        <f aca="false">Margin_Structure!K24</f>
        <v>284031</v>
      </c>
      <c r="G1008" s="12" t="n">
        <v>284031</v>
      </c>
      <c r="H1008" s="10" t="n">
        <f aca="false">F1008-G1008</f>
        <v>0</v>
      </c>
      <c r="I1008" s="10" t="str">
        <f aca="false">IF(ABS(H1008)&lt;=0.000001,"PASS","FAIL")</f>
        <v>PASS</v>
      </c>
      <c r="J1008" s="10" t="s">
        <v>3560</v>
      </c>
    </row>
    <row r="1009" customFormat="false" ht="15" hidden="false" customHeight="false" outlineLevel="0" collapsed="false">
      <c r="A1009" s="10" t="s">
        <v>3561</v>
      </c>
      <c r="B1009" s="10" t="s">
        <v>1104</v>
      </c>
      <c r="C1009" s="10" t="s">
        <v>3562</v>
      </c>
      <c r="D1009" s="10" t="s">
        <v>1136</v>
      </c>
      <c r="E1009" s="10" t="s">
        <v>730</v>
      </c>
      <c r="F1009" s="22" t="n">
        <f aca="false">Margin_Structure!N24</f>
        <v>79453</v>
      </c>
      <c r="G1009" s="12" t="n">
        <v>79453</v>
      </c>
      <c r="H1009" s="10" t="n">
        <f aca="false">F1009-G1009</f>
        <v>0</v>
      </c>
      <c r="I1009" s="10" t="str">
        <f aca="false">IF(ABS(H1009)&lt;=0.000001,"PASS","FAIL")</f>
        <v>PASS</v>
      </c>
      <c r="J1009" s="10" t="s">
        <v>3563</v>
      </c>
    </row>
    <row r="1010" customFormat="false" ht="15" hidden="false" customHeight="false" outlineLevel="0" collapsed="false">
      <c r="A1010" s="10" t="s">
        <v>3564</v>
      </c>
      <c r="B1010" s="10" t="s">
        <v>1104</v>
      </c>
      <c r="C1010" s="10" t="s">
        <v>3565</v>
      </c>
      <c r="D1010" s="10" t="s">
        <v>1136</v>
      </c>
      <c r="E1010" s="10" t="s">
        <v>731</v>
      </c>
      <c r="F1010" s="22" t="n">
        <f aca="false">Margin_Structure!Q24</f>
        <v>57772</v>
      </c>
      <c r="G1010" s="12" t="n">
        <v>57772</v>
      </c>
      <c r="H1010" s="10" t="n">
        <f aca="false">F1010-G1010</f>
        <v>0</v>
      </c>
      <c r="I1010" s="10" t="str">
        <f aca="false">IF(ABS(H1010)&lt;=0.000001,"PASS","FAIL")</f>
        <v>PASS</v>
      </c>
      <c r="J1010" s="10" t="s">
        <v>3566</v>
      </c>
    </row>
    <row r="1011" customFormat="false" ht="15" hidden="false" customHeight="false" outlineLevel="0" collapsed="false">
      <c r="A1011" s="10" t="s">
        <v>3567</v>
      </c>
      <c r="B1011" s="10" t="s">
        <v>1104</v>
      </c>
      <c r="C1011" s="10" t="s">
        <v>3568</v>
      </c>
      <c r="D1011" s="10" t="s">
        <v>1136</v>
      </c>
      <c r="E1011" s="10" t="s">
        <v>732</v>
      </c>
      <c r="F1011" s="22" t="n">
        <f aca="false">Margin_Structure!T24</f>
        <v>165808</v>
      </c>
      <c r="G1011" s="12" t="n">
        <v>165808</v>
      </c>
      <c r="H1011" s="10" t="n">
        <f aca="false">F1011-G1011</f>
        <v>0</v>
      </c>
      <c r="I1011" s="10" t="str">
        <f aca="false">IF(ABS(H1011)&lt;=0.000001,"PASS","FAIL")</f>
        <v>PASS</v>
      </c>
      <c r="J1011" s="10" t="s">
        <v>3569</v>
      </c>
    </row>
    <row r="1012" customFormat="false" ht="15" hidden="false" customHeight="false" outlineLevel="0" collapsed="false">
      <c r="A1012" s="10" t="s">
        <v>3570</v>
      </c>
      <c r="B1012" s="10" t="s">
        <v>1104</v>
      </c>
      <c r="C1012" s="10" t="s">
        <v>3571</v>
      </c>
      <c r="D1012" s="10" t="s">
        <v>1136</v>
      </c>
      <c r="E1012" s="10" t="s">
        <v>733</v>
      </c>
      <c r="F1012" s="22" t="n">
        <f aca="false">Margin_Structure!W24</f>
        <v>151804</v>
      </c>
      <c r="G1012" s="12" t="n">
        <v>151804</v>
      </c>
      <c r="H1012" s="10" t="n">
        <f aca="false">F1012-G1012</f>
        <v>0</v>
      </c>
      <c r="I1012" s="10" t="str">
        <f aca="false">IF(ABS(H1012)&lt;=0.000001,"PASS","FAIL")</f>
        <v>PASS</v>
      </c>
      <c r="J1012" s="10" t="s">
        <v>3572</v>
      </c>
    </row>
    <row r="1013" customFormat="false" ht="15" hidden="false" customHeight="false" outlineLevel="0" collapsed="false">
      <c r="A1013" s="10" t="s">
        <v>3573</v>
      </c>
      <c r="B1013" s="10" t="s">
        <v>1104</v>
      </c>
      <c r="C1013" s="10" t="s">
        <v>3574</v>
      </c>
      <c r="D1013" s="10" t="s">
        <v>1136</v>
      </c>
      <c r="E1013" s="10" t="s">
        <v>734</v>
      </c>
      <c r="F1013" s="22" t="n">
        <f aca="false">Margin_Structure!Z24</f>
        <v>38184</v>
      </c>
      <c r="G1013" s="12" t="n">
        <v>38184</v>
      </c>
      <c r="H1013" s="10" t="n">
        <f aca="false">F1013-G1013</f>
        <v>0</v>
      </c>
      <c r="I1013" s="10" t="str">
        <f aca="false">IF(ABS(H1013)&lt;=0.000001,"PASS","FAIL")</f>
        <v>PASS</v>
      </c>
      <c r="J1013" s="10" t="s">
        <v>3575</v>
      </c>
    </row>
    <row r="1014" customFormat="false" ht="15" hidden="false" customHeight="false" outlineLevel="0" collapsed="false">
      <c r="A1014" s="10" t="s">
        <v>3576</v>
      </c>
      <c r="B1014" s="10" t="s">
        <v>1104</v>
      </c>
      <c r="C1014" s="10" t="s">
        <v>3577</v>
      </c>
      <c r="D1014" s="10" t="s">
        <v>1136</v>
      </c>
      <c r="E1014" s="10" t="s">
        <v>735</v>
      </c>
      <c r="F1014" s="22" t="n">
        <f aca="false">Margin_Structure!AC24</f>
        <v>26971</v>
      </c>
      <c r="G1014" s="12" t="n">
        <v>26971</v>
      </c>
      <c r="H1014" s="10" t="n">
        <f aca="false">F1014-G1014</f>
        <v>0</v>
      </c>
      <c r="I1014" s="10" t="str">
        <f aca="false">IF(ABS(H1014)&lt;=0.000001,"PASS","FAIL")</f>
        <v>PASS</v>
      </c>
      <c r="J1014" s="10" t="s">
        <v>3578</v>
      </c>
    </row>
    <row r="1015" customFormat="false" ht="15" hidden="false" customHeight="false" outlineLevel="0" collapsed="false">
      <c r="A1015" s="10" t="s">
        <v>3579</v>
      </c>
      <c r="B1015" s="10" t="s">
        <v>1104</v>
      </c>
      <c r="C1015" s="10" t="s">
        <v>3580</v>
      </c>
      <c r="D1015" s="10" t="s">
        <v>1136</v>
      </c>
      <c r="E1015" s="10" t="s">
        <v>736</v>
      </c>
      <c r="F1015" s="22" t="n">
        <f aca="false">Margin_Structure!AF24</f>
        <v>-2378</v>
      </c>
      <c r="G1015" s="12" t="n">
        <v>-2378</v>
      </c>
      <c r="H1015" s="10" t="n">
        <f aca="false">F1015-G1015</f>
        <v>0</v>
      </c>
      <c r="I1015" s="10" t="str">
        <f aca="false">IF(ABS(H1015)&lt;=0.000001,"PASS","FAIL")</f>
        <v>PASS</v>
      </c>
      <c r="J1015" s="10" t="s">
        <v>3581</v>
      </c>
    </row>
    <row r="1016" customFormat="false" ht="15" hidden="false" customHeight="false" outlineLevel="0" collapsed="false">
      <c r="A1016" s="10" t="s">
        <v>3582</v>
      </c>
      <c r="B1016" s="10" t="s">
        <v>1104</v>
      </c>
      <c r="C1016" s="10" t="s">
        <v>3583</v>
      </c>
      <c r="D1016" s="10" t="s">
        <v>1136</v>
      </c>
      <c r="E1016" s="10" t="s">
        <v>185</v>
      </c>
      <c r="F1016" s="22" t="n">
        <f aca="false">Margin_Structure!AI24</f>
        <v>47484</v>
      </c>
      <c r="G1016" s="12" t="n">
        <v>47484</v>
      </c>
      <c r="H1016" s="10" t="n">
        <f aca="false">F1016-G1016</f>
        <v>0</v>
      </c>
      <c r="I1016" s="10" t="str">
        <f aca="false">IF(ABS(H1016)&lt;=0.000001,"PASS","FAIL")</f>
        <v>PASS</v>
      </c>
      <c r="J1016" s="10" t="s">
        <v>3584</v>
      </c>
    </row>
    <row r="1017" customFormat="false" ht="15" hidden="false" customHeight="false" outlineLevel="0" collapsed="false">
      <c r="A1017" s="10" t="s">
        <v>3585</v>
      </c>
      <c r="B1017" s="10" t="s">
        <v>1104</v>
      </c>
      <c r="C1017" s="10" t="s">
        <v>3586</v>
      </c>
      <c r="D1017" s="10" t="s">
        <v>1136</v>
      </c>
      <c r="E1017" s="10" t="s">
        <v>135</v>
      </c>
      <c r="F1017" s="22" t="n">
        <f aca="false">Margin_Structure!E25</f>
        <v>333878</v>
      </c>
      <c r="G1017" s="12" t="n">
        <v>333878</v>
      </c>
      <c r="H1017" s="10" t="n">
        <f aca="false">F1017-G1017</f>
        <v>0</v>
      </c>
      <c r="I1017" s="10" t="str">
        <f aca="false">IF(ABS(H1017)&lt;=0.000001,"PASS","FAIL")</f>
        <v>PASS</v>
      </c>
      <c r="J1017" s="10" t="s">
        <v>2862</v>
      </c>
    </row>
    <row r="1018" customFormat="false" ht="15" hidden="false" customHeight="false" outlineLevel="0" collapsed="false">
      <c r="A1018" s="10" t="s">
        <v>3587</v>
      </c>
      <c r="B1018" s="10" t="s">
        <v>1104</v>
      </c>
      <c r="C1018" s="10" t="s">
        <v>3588</v>
      </c>
      <c r="D1018" s="10" t="s">
        <v>1136</v>
      </c>
      <c r="E1018" s="10" t="s">
        <v>737</v>
      </c>
      <c r="F1018" s="22" t="n">
        <f aca="false">Margin_Structure!H25</f>
        <v>296545</v>
      </c>
      <c r="G1018" s="12" t="n">
        <v>296545</v>
      </c>
      <c r="H1018" s="10" t="n">
        <f aca="false">F1018-G1018</f>
        <v>0</v>
      </c>
      <c r="I1018" s="10" t="str">
        <f aca="false">IF(ABS(H1018)&lt;=0.000001,"PASS","FAIL")</f>
        <v>PASS</v>
      </c>
      <c r="J1018" s="10" t="s">
        <v>3589</v>
      </c>
    </row>
    <row r="1019" customFormat="false" ht="15" hidden="false" customHeight="false" outlineLevel="0" collapsed="false">
      <c r="A1019" s="10" t="s">
        <v>3590</v>
      </c>
      <c r="B1019" s="10" t="s">
        <v>1104</v>
      </c>
      <c r="C1019" s="10" t="s">
        <v>3591</v>
      </c>
      <c r="D1019" s="10" t="s">
        <v>1136</v>
      </c>
      <c r="E1019" s="10" t="s">
        <v>738</v>
      </c>
      <c r="F1019" s="22" t="n">
        <f aca="false">Margin_Structure!K25</f>
        <v>298736</v>
      </c>
      <c r="G1019" s="12" t="n">
        <v>298736</v>
      </c>
      <c r="H1019" s="10" t="n">
        <f aca="false">F1019-G1019</f>
        <v>0</v>
      </c>
      <c r="I1019" s="10" t="str">
        <f aca="false">IF(ABS(H1019)&lt;=0.000001,"PASS","FAIL")</f>
        <v>PASS</v>
      </c>
      <c r="J1019" s="10" t="s">
        <v>3592</v>
      </c>
    </row>
    <row r="1020" customFormat="false" ht="15" hidden="false" customHeight="false" outlineLevel="0" collapsed="false">
      <c r="A1020" s="10" t="s">
        <v>3593</v>
      </c>
      <c r="B1020" s="10" t="s">
        <v>1104</v>
      </c>
      <c r="C1020" s="10" t="s">
        <v>3594</v>
      </c>
      <c r="D1020" s="10" t="s">
        <v>1136</v>
      </c>
      <c r="E1020" s="10" t="s">
        <v>739</v>
      </c>
      <c r="F1020" s="22" t="n">
        <f aca="false">Margin_Structure!N25</f>
        <v>84922</v>
      </c>
      <c r="G1020" s="12" t="n">
        <v>84922</v>
      </c>
      <c r="H1020" s="10" t="n">
        <f aca="false">F1020-G1020</f>
        <v>0</v>
      </c>
      <c r="I1020" s="10" t="str">
        <f aca="false">IF(ABS(H1020)&lt;=0.000001,"PASS","FAIL")</f>
        <v>PASS</v>
      </c>
      <c r="J1020" s="10" t="s">
        <v>3595</v>
      </c>
    </row>
    <row r="1021" customFormat="false" ht="15" hidden="false" customHeight="false" outlineLevel="0" collapsed="false">
      <c r="A1021" s="10" t="s">
        <v>3596</v>
      </c>
      <c r="B1021" s="10" t="s">
        <v>1104</v>
      </c>
      <c r="C1021" s="10" t="s">
        <v>3597</v>
      </c>
      <c r="D1021" s="10" t="s">
        <v>1136</v>
      </c>
      <c r="E1021" s="10" t="s">
        <v>740</v>
      </c>
      <c r="F1021" s="22" t="n">
        <f aca="false">Margin_Structure!Q25</f>
        <v>67700</v>
      </c>
      <c r="G1021" s="12" t="n">
        <v>67700</v>
      </c>
      <c r="H1021" s="10" t="n">
        <f aca="false">F1021-G1021</f>
        <v>0</v>
      </c>
      <c r="I1021" s="10" t="str">
        <f aca="false">IF(ABS(H1021)&lt;=0.000001,"PASS","FAIL")</f>
        <v>PASS</v>
      </c>
      <c r="J1021" s="10" t="s">
        <v>3598</v>
      </c>
    </row>
    <row r="1022" customFormat="false" ht="15" hidden="false" customHeight="false" outlineLevel="0" collapsed="false">
      <c r="A1022" s="10" t="s">
        <v>3599</v>
      </c>
      <c r="B1022" s="10" t="s">
        <v>1104</v>
      </c>
      <c r="C1022" s="10" t="s">
        <v>3600</v>
      </c>
      <c r="D1022" s="10" t="s">
        <v>1136</v>
      </c>
      <c r="E1022" s="10" t="s">
        <v>741</v>
      </c>
      <c r="F1022" s="22" t="n">
        <f aca="false">Margin_Structure!T25</f>
        <v>170733</v>
      </c>
      <c r="G1022" s="12" t="n">
        <v>170733</v>
      </c>
      <c r="H1022" s="10" t="n">
        <f aca="false">F1022-G1022</f>
        <v>0</v>
      </c>
      <c r="I1022" s="10" t="str">
        <f aca="false">IF(ABS(H1022)&lt;=0.000001,"PASS","FAIL")</f>
        <v>PASS</v>
      </c>
      <c r="J1022" s="10" t="s">
        <v>3601</v>
      </c>
    </row>
    <row r="1023" customFormat="false" ht="15" hidden="false" customHeight="false" outlineLevel="0" collapsed="false">
      <c r="A1023" s="10" t="s">
        <v>3602</v>
      </c>
      <c r="B1023" s="10" t="s">
        <v>1104</v>
      </c>
      <c r="C1023" s="10" t="s">
        <v>3603</v>
      </c>
      <c r="D1023" s="10" t="s">
        <v>1136</v>
      </c>
      <c r="E1023" s="10" t="s">
        <v>742</v>
      </c>
      <c r="F1023" s="22" t="n">
        <f aca="false">Margin_Structure!W25</f>
        <v>159858</v>
      </c>
      <c r="G1023" s="12" t="n">
        <v>159858</v>
      </c>
      <c r="H1023" s="10" t="n">
        <f aca="false">F1023-G1023</f>
        <v>0</v>
      </c>
      <c r="I1023" s="10" t="str">
        <f aca="false">IF(ABS(H1023)&lt;=0.000001,"PASS","FAIL")</f>
        <v>PASS</v>
      </c>
      <c r="J1023" s="10" t="s">
        <v>3604</v>
      </c>
    </row>
    <row r="1024" customFormat="false" ht="15" hidden="false" customHeight="false" outlineLevel="0" collapsed="false">
      <c r="A1024" s="10" t="s">
        <v>3605</v>
      </c>
      <c r="B1024" s="10" t="s">
        <v>1104</v>
      </c>
      <c r="C1024" s="10" t="s">
        <v>3606</v>
      </c>
      <c r="D1024" s="10" t="s">
        <v>1136</v>
      </c>
      <c r="E1024" s="10" t="s">
        <v>743</v>
      </c>
      <c r="F1024" s="22" t="n">
        <f aca="false">Margin_Structure!Z25</f>
        <v>38505</v>
      </c>
      <c r="G1024" s="12" t="n">
        <v>38505</v>
      </c>
      <c r="H1024" s="10" t="n">
        <f aca="false">F1024-G1024</f>
        <v>0</v>
      </c>
      <c r="I1024" s="10" t="str">
        <f aca="false">IF(ABS(H1024)&lt;=0.000001,"PASS","FAIL")</f>
        <v>PASS</v>
      </c>
      <c r="J1024" s="10" t="s">
        <v>3607</v>
      </c>
    </row>
    <row r="1025" customFormat="false" ht="15" hidden="false" customHeight="false" outlineLevel="0" collapsed="false">
      <c r="A1025" s="10" t="s">
        <v>3608</v>
      </c>
      <c r="B1025" s="10" t="s">
        <v>1104</v>
      </c>
      <c r="C1025" s="10" t="s">
        <v>3609</v>
      </c>
      <c r="D1025" s="10" t="s">
        <v>1136</v>
      </c>
      <c r="E1025" s="10" t="s">
        <v>744</v>
      </c>
      <c r="F1025" s="22" t="n">
        <f aca="false">Margin_Structure!AC25</f>
        <v>29247</v>
      </c>
      <c r="G1025" s="12" t="n">
        <v>29247</v>
      </c>
      <c r="H1025" s="10" t="n">
        <f aca="false">F1025-G1025</f>
        <v>0</v>
      </c>
      <c r="I1025" s="10" t="str">
        <f aca="false">IF(ABS(H1025)&lt;=0.000001,"PASS","FAIL")</f>
        <v>PASS</v>
      </c>
      <c r="J1025" s="10" t="s">
        <v>3610</v>
      </c>
    </row>
    <row r="1026" customFormat="false" ht="15" hidden="false" customHeight="false" outlineLevel="0" collapsed="false">
      <c r="A1026" s="10" t="s">
        <v>3611</v>
      </c>
      <c r="B1026" s="10" t="s">
        <v>1104</v>
      </c>
      <c r="C1026" s="10" t="s">
        <v>3612</v>
      </c>
      <c r="D1026" s="10" t="s">
        <v>1136</v>
      </c>
      <c r="E1026" s="10" t="s">
        <v>745</v>
      </c>
      <c r="F1026" s="22" t="n">
        <f aca="false">Margin_Structure!AF25</f>
        <v>2385</v>
      </c>
      <c r="G1026" s="12" t="n">
        <v>2385</v>
      </c>
      <c r="H1026" s="10" t="n">
        <f aca="false">F1026-G1026</f>
        <v>0</v>
      </c>
      <c r="I1026" s="10" t="str">
        <f aca="false">IF(ABS(H1026)&lt;=0.000001,"PASS","FAIL")</f>
        <v>PASS</v>
      </c>
      <c r="J1026" s="10" t="s">
        <v>3613</v>
      </c>
    </row>
    <row r="1027" customFormat="false" ht="15" hidden="false" customHeight="false" outlineLevel="0" collapsed="false">
      <c r="A1027" s="10" t="s">
        <v>3614</v>
      </c>
      <c r="B1027" s="10" t="s">
        <v>1104</v>
      </c>
      <c r="C1027" s="10" t="s">
        <v>3615</v>
      </c>
      <c r="D1027" s="10" t="s">
        <v>1136</v>
      </c>
      <c r="E1027" s="10" t="s">
        <v>187</v>
      </c>
      <c r="F1027" s="22" t="n">
        <f aca="false">Margin_Structure!AI25</f>
        <v>41931</v>
      </c>
      <c r="G1027" s="12" t="n">
        <v>41931</v>
      </c>
      <c r="H1027" s="10" t="n">
        <f aca="false">F1027-G1027</f>
        <v>0</v>
      </c>
      <c r="I1027" s="10" t="str">
        <f aca="false">IF(ABS(H1027)&lt;=0.000001,"PASS","FAIL")</f>
        <v>PASS</v>
      </c>
      <c r="J1027" s="10" t="s">
        <v>3616</v>
      </c>
    </row>
    <row r="1028" customFormat="false" ht="15" hidden="false" customHeight="false" outlineLevel="0" collapsed="false">
      <c r="A1028" s="10" t="s">
        <v>3617</v>
      </c>
      <c r="B1028" s="10" t="s">
        <v>1104</v>
      </c>
      <c r="C1028" s="10" t="s">
        <v>3618</v>
      </c>
      <c r="D1028" s="10" t="s">
        <v>1136</v>
      </c>
      <c r="E1028" s="10" t="s">
        <v>140</v>
      </c>
      <c r="F1028" s="22" t="n">
        <f aca="false">Margin_Structure!E26</f>
        <v>351265</v>
      </c>
      <c r="G1028" s="12" t="n">
        <v>351265</v>
      </c>
      <c r="H1028" s="10" t="n">
        <f aca="false">F1028-G1028</f>
        <v>0</v>
      </c>
      <c r="I1028" s="10" t="str">
        <f aca="false">IF(ABS(H1028)&lt;=0.000001,"PASS","FAIL")</f>
        <v>PASS</v>
      </c>
      <c r="J1028" s="10" t="s">
        <v>2901</v>
      </c>
    </row>
    <row r="1029" customFormat="false" ht="15" hidden="false" customHeight="false" outlineLevel="0" collapsed="false">
      <c r="A1029" s="10" t="s">
        <v>3619</v>
      </c>
      <c r="B1029" s="10" t="s">
        <v>1104</v>
      </c>
      <c r="C1029" s="10" t="s">
        <v>3620</v>
      </c>
      <c r="D1029" s="10" t="s">
        <v>1136</v>
      </c>
      <c r="E1029" s="10" t="s">
        <v>746</v>
      </c>
      <c r="F1029" s="22" t="n">
        <f aca="false">Margin_Structure!H26</f>
        <v>313141</v>
      </c>
      <c r="G1029" s="12" t="n">
        <v>313141</v>
      </c>
      <c r="H1029" s="10" t="n">
        <f aca="false">F1029-G1029</f>
        <v>0</v>
      </c>
      <c r="I1029" s="10" t="str">
        <f aca="false">IF(ABS(H1029)&lt;=0.000001,"PASS","FAIL")</f>
        <v>PASS</v>
      </c>
      <c r="J1029" s="10" t="s">
        <v>3621</v>
      </c>
    </row>
    <row r="1030" customFormat="false" ht="15" hidden="false" customHeight="false" outlineLevel="0" collapsed="false">
      <c r="A1030" s="10" t="s">
        <v>3622</v>
      </c>
      <c r="B1030" s="10" t="s">
        <v>1104</v>
      </c>
      <c r="C1030" s="10" t="s">
        <v>3623</v>
      </c>
      <c r="D1030" s="10" t="s">
        <v>1136</v>
      </c>
      <c r="E1030" s="10" t="s">
        <v>747</v>
      </c>
      <c r="F1030" s="22" t="n">
        <f aca="false">Margin_Structure!K26</f>
        <v>314190</v>
      </c>
      <c r="G1030" s="12" t="n">
        <v>314190</v>
      </c>
      <c r="H1030" s="10" t="n">
        <f aca="false">F1030-G1030</f>
        <v>0</v>
      </c>
      <c r="I1030" s="10" t="str">
        <f aca="false">IF(ABS(H1030)&lt;=0.000001,"PASS","FAIL")</f>
        <v>PASS</v>
      </c>
      <c r="J1030" s="10" t="s">
        <v>3624</v>
      </c>
    </row>
    <row r="1031" customFormat="false" ht="15" hidden="false" customHeight="false" outlineLevel="0" collapsed="false">
      <c r="A1031" s="10" t="s">
        <v>3625</v>
      </c>
      <c r="B1031" s="10" t="s">
        <v>1104</v>
      </c>
      <c r="C1031" s="10" t="s">
        <v>3626</v>
      </c>
      <c r="D1031" s="10" t="s">
        <v>1136</v>
      </c>
      <c r="E1031" s="10" t="s">
        <v>748</v>
      </c>
      <c r="F1031" s="22" t="n">
        <f aca="false">Margin_Structure!N26</f>
        <v>92020</v>
      </c>
      <c r="G1031" s="12" t="n">
        <v>92020</v>
      </c>
      <c r="H1031" s="10" t="n">
        <f aca="false">F1031-G1031</f>
        <v>0</v>
      </c>
      <c r="I1031" s="10" t="str">
        <f aca="false">IF(ABS(H1031)&lt;=0.000001,"PASS","FAIL")</f>
        <v>PASS</v>
      </c>
      <c r="J1031" s="10" t="s">
        <v>3627</v>
      </c>
    </row>
    <row r="1032" customFormat="false" ht="15" hidden="false" customHeight="false" outlineLevel="0" collapsed="false">
      <c r="A1032" s="10" t="s">
        <v>3628</v>
      </c>
      <c r="B1032" s="10" t="s">
        <v>1104</v>
      </c>
      <c r="C1032" s="10" t="s">
        <v>3629</v>
      </c>
      <c r="D1032" s="10" t="s">
        <v>1136</v>
      </c>
      <c r="E1032" s="10" t="s">
        <v>749</v>
      </c>
      <c r="F1032" s="22" t="n">
        <f aca="false">Margin_Structure!Q26</f>
        <v>78413</v>
      </c>
      <c r="G1032" s="12" t="n">
        <v>78413</v>
      </c>
      <c r="H1032" s="10" t="n">
        <f aca="false">F1032-G1032</f>
        <v>0</v>
      </c>
      <c r="I1032" s="10" t="str">
        <f aca="false">IF(ABS(H1032)&lt;=0.000001,"PASS","FAIL")</f>
        <v>PASS</v>
      </c>
      <c r="J1032" s="10" t="s">
        <v>3630</v>
      </c>
    </row>
    <row r="1033" customFormat="false" ht="15" hidden="false" customHeight="false" outlineLevel="0" collapsed="false">
      <c r="A1033" s="10" t="s">
        <v>3631</v>
      </c>
      <c r="B1033" s="10" t="s">
        <v>1104</v>
      </c>
      <c r="C1033" s="10" t="s">
        <v>3632</v>
      </c>
      <c r="D1033" s="10" t="s">
        <v>1136</v>
      </c>
      <c r="E1033" s="10" t="s">
        <v>750</v>
      </c>
      <c r="F1033" s="22" t="n">
        <f aca="false">Margin_Structure!T26</f>
        <v>165395</v>
      </c>
      <c r="G1033" s="12" t="n">
        <v>165395</v>
      </c>
      <c r="H1033" s="10" t="n">
        <f aca="false">F1033-G1033</f>
        <v>0</v>
      </c>
      <c r="I1033" s="10" t="str">
        <f aca="false">IF(ABS(H1033)&lt;=0.000001,"PASS","FAIL")</f>
        <v>PASS</v>
      </c>
      <c r="J1033" s="10" t="s">
        <v>3633</v>
      </c>
    </row>
    <row r="1034" customFormat="false" ht="15" hidden="false" customHeight="false" outlineLevel="0" collapsed="false">
      <c r="A1034" s="10" t="s">
        <v>3634</v>
      </c>
      <c r="B1034" s="10" t="s">
        <v>1104</v>
      </c>
      <c r="C1034" s="10" t="s">
        <v>3635</v>
      </c>
      <c r="D1034" s="10" t="s">
        <v>1136</v>
      </c>
      <c r="E1034" s="10" t="s">
        <v>751</v>
      </c>
      <c r="F1034" s="22" t="n">
        <f aca="false">Margin_Structure!W26</f>
        <v>158181</v>
      </c>
      <c r="G1034" s="12" t="n">
        <v>158181</v>
      </c>
      <c r="H1034" s="10" t="n">
        <f aca="false">F1034-G1034</f>
        <v>0</v>
      </c>
      <c r="I1034" s="10" t="str">
        <f aca="false">IF(ABS(H1034)&lt;=0.000001,"PASS","FAIL")</f>
        <v>PASS</v>
      </c>
      <c r="J1034" s="10" t="s">
        <v>3636</v>
      </c>
    </row>
    <row r="1035" customFormat="false" ht="15" hidden="false" customHeight="false" outlineLevel="0" collapsed="false">
      <c r="A1035" s="10" t="s">
        <v>3637</v>
      </c>
      <c r="B1035" s="10" t="s">
        <v>1104</v>
      </c>
      <c r="C1035" s="10" t="s">
        <v>3638</v>
      </c>
      <c r="D1035" s="10" t="s">
        <v>1136</v>
      </c>
      <c r="E1035" s="10" t="s">
        <v>752</v>
      </c>
      <c r="F1035" s="22" t="n">
        <f aca="false">Margin_Structure!Z26</f>
        <v>35972</v>
      </c>
      <c r="G1035" s="12" t="n">
        <v>35972</v>
      </c>
      <c r="H1035" s="10" t="n">
        <f aca="false">F1035-G1035</f>
        <v>0</v>
      </c>
      <c r="I1035" s="10" t="str">
        <f aca="false">IF(ABS(H1035)&lt;=0.000001,"PASS","FAIL")</f>
        <v>PASS</v>
      </c>
      <c r="J1035" s="10" t="s">
        <v>3639</v>
      </c>
    </row>
    <row r="1036" customFormat="false" ht="15" hidden="false" customHeight="false" outlineLevel="0" collapsed="false">
      <c r="A1036" s="10" t="s">
        <v>3640</v>
      </c>
      <c r="B1036" s="10" t="s">
        <v>1104</v>
      </c>
      <c r="C1036" s="10" t="s">
        <v>3641</v>
      </c>
      <c r="D1036" s="10" t="s">
        <v>1136</v>
      </c>
      <c r="E1036" s="10" t="s">
        <v>753</v>
      </c>
      <c r="F1036" s="22" t="n">
        <f aca="false">Margin_Structure!AC26</f>
        <v>28559</v>
      </c>
      <c r="G1036" s="12" t="n">
        <v>28559</v>
      </c>
      <c r="H1036" s="10" t="n">
        <f aca="false">F1036-G1036</f>
        <v>0</v>
      </c>
      <c r="I1036" s="10" t="str">
        <f aca="false">IF(ABS(H1036)&lt;=0.000001,"PASS","FAIL")</f>
        <v>PASS</v>
      </c>
      <c r="J1036" s="10" t="s">
        <v>3642</v>
      </c>
    </row>
    <row r="1037" customFormat="false" ht="15" hidden="false" customHeight="false" outlineLevel="0" collapsed="false">
      <c r="A1037" s="10" t="s">
        <v>3643</v>
      </c>
      <c r="B1037" s="10" t="s">
        <v>1104</v>
      </c>
      <c r="C1037" s="10" t="s">
        <v>3644</v>
      </c>
      <c r="D1037" s="10" t="s">
        <v>1136</v>
      </c>
      <c r="E1037" s="10" t="s">
        <v>754</v>
      </c>
      <c r="F1037" s="22" t="n">
        <f aca="false">Margin_Structure!AF26</f>
        <v>19754</v>
      </c>
      <c r="G1037" s="12" t="n">
        <v>19754</v>
      </c>
      <c r="H1037" s="10" t="n">
        <f aca="false">F1037-G1037</f>
        <v>0</v>
      </c>
      <c r="I1037" s="10" t="str">
        <f aca="false">IF(ABS(H1037)&lt;=0.000001,"PASS","FAIL")</f>
        <v>PASS</v>
      </c>
      <c r="J1037" s="10" t="s">
        <v>3645</v>
      </c>
    </row>
    <row r="1038" customFormat="false" ht="15" hidden="false" customHeight="false" outlineLevel="0" collapsed="false">
      <c r="A1038" s="10" t="s">
        <v>3646</v>
      </c>
      <c r="B1038" s="10" t="s">
        <v>1104</v>
      </c>
      <c r="C1038" s="10" t="s">
        <v>3647</v>
      </c>
      <c r="D1038" s="10" t="s">
        <v>1136</v>
      </c>
      <c r="E1038" s="10" t="s">
        <v>190</v>
      </c>
      <c r="F1038" s="22" t="n">
        <f aca="false">Margin_Structure!AI26</f>
        <v>49037</v>
      </c>
      <c r="G1038" s="12" t="n">
        <v>49037</v>
      </c>
      <c r="H1038" s="10" t="n">
        <f aca="false">F1038-G1038</f>
        <v>0</v>
      </c>
      <c r="I1038" s="10" t="str">
        <f aca="false">IF(ABS(H1038)&lt;=0.000001,"PASS","FAIL")</f>
        <v>PASS</v>
      </c>
      <c r="J1038" s="10" t="s">
        <v>3648</v>
      </c>
    </row>
    <row r="1039" customFormat="false" ht="15" hidden="false" customHeight="false" outlineLevel="0" collapsed="false">
      <c r="A1039" s="10" t="s">
        <v>3649</v>
      </c>
      <c r="B1039" s="10" t="s">
        <v>1104</v>
      </c>
      <c r="C1039" s="10" t="s">
        <v>3650</v>
      </c>
      <c r="D1039" s="10" t="s">
        <v>1136</v>
      </c>
      <c r="E1039" s="10" t="s">
        <v>145</v>
      </c>
      <c r="F1039" s="22" t="n">
        <f aca="false">Margin_Structure!E27</f>
        <v>364621</v>
      </c>
      <c r="G1039" s="12" t="n">
        <v>364621</v>
      </c>
      <c r="H1039" s="10" t="n">
        <f aca="false">F1039-G1039</f>
        <v>0</v>
      </c>
      <c r="I1039" s="10" t="str">
        <f aca="false">IF(ABS(H1039)&lt;=0.000001,"PASS","FAIL")</f>
        <v>PASS</v>
      </c>
      <c r="J1039" s="10" t="s">
        <v>2940</v>
      </c>
    </row>
    <row r="1040" customFormat="false" ht="15" hidden="false" customHeight="false" outlineLevel="0" collapsed="false">
      <c r="A1040" s="10" t="s">
        <v>3651</v>
      </c>
      <c r="B1040" s="10" t="s">
        <v>1104</v>
      </c>
      <c r="C1040" s="10" t="s">
        <v>3652</v>
      </c>
      <c r="D1040" s="10" t="s">
        <v>1136</v>
      </c>
      <c r="E1040" s="10" t="s">
        <v>755</v>
      </c>
      <c r="F1040" s="22" t="n">
        <f aca="false">Margin_Structure!H27</f>
        <v>321960</v>
      </c>
      <c r="G1040" s="12" t="n">
        <v>321960</v>
      </c>
      <c r="H1040" s="10" t="n">
        <f aca="false">F1040-G1040</f>
        <v>0</v>
      </c>
      <c r="I1040" s="10" t="str">
        <f aca="false">IF(ABS(H1040)&lt;=0.000001,"PASS","FAIL")</f>
        <v>PASS</v>
      </c>
      <c r="J1040" s="10" t="s">
        <v>3653</v>
      </c>
    </row>
    <row r="1041" customFormat="false" ht="15" hidden="false" customHeight="false" outlineLevel="0" collapsed="false">
      <c r="A1041" s="10" t="s">
        <v>3654</v>
      </c>
      <c r="B1041" s="10" t="s">
        <v>1104</v>
      </c>
      <c r="C1041" s="10" t="s">
        <v>3655</v>
      </c>
      <c r="D1041" s="10" t="s">
        <v>1136</v>
      </c>
      <c r="E1041" s="10" t="s">
        <v>756</v>
      </c>
      <c r="F1041" s="22" t="n">
        <f aca="false">Margin_Structure!K27</f>
        <v>324222</v>
      </c>
      <c r="G1041" s="12" t="n">
        <v>324222</v>
      </c>
      <c r="H1041" s="10" t="n">
        <f aca="false">F1041-G1041</f>
        <v>0</v>
      </c>
      <c r="I1041" s="10" t="str">
        <f aca="false">IF(ABS(H1041)&lt;=0.000001,"PASS","FAIL")</f>
        <v>PASS</v>
      </c>
      <c r="J1041" s="10" t="s">
        <v>3656</v>
      </c>
    </row>
    <row r="1042" customFormat="false" ht="15" hidden="false" customHeight="false" outlineLevel="0" collapsed="false">
      <c r="A1042" s="10" t="s">
        <v>3657</v>
      </c>
      <c r="B1042" s="10" t="s">
        <v>1104</v>
      </c>
      <c r="C1042" s="10" t="s">
        <v>3658</v>
      </c>
      <c r="D1042" s="10" t="s">
        <v>1136</v>
      </c>
      <c r="E1042" s="10" t="s">
        <v>757</v>
      </c>
      <c r="F1042" s="22" t="n">
        <f aca="false">Margin_Structure!N27</f>
        <v>99307</v>
      </c>
      <c r="G1042" s="12" t="n">
        <v>99307</v>
      </c>
      <c r="H1042" s="10" t="n">
        <f aca="false">F1042-G1042</f>
        <v>0</v>
      </c>
      <c r="I1042" s="10" t="str">
        <f aca="false">IF(ABS(H1042)&lt;=0.000001,"PASS","FAIL")</f>
        <v>PASS</v>
      </c>
      <c r="J1042" s="10" t="s">
        <v>3659</v>
      </c>
    </row>
    <row r="1043" customFormat="false" ht="15" hidden="false" customHeight="false" outlineLevel="0" collapsed="false">
      <c r="A1043" s="10" t="s">
        <v>3660</v>
      </c>
      <c r="B1043" s="10" t="s">
        <v>1104</v>
      </c>
      <c r="C1043" s="10" t="s">
        <v>3661</v>
      </c>
      <c r="D1043" s="10" t="s">
        <v>1136</v>
      </c>
      <c r="E1043" s="10" t="s">
        <v>758</v>
      </c>
      <c r="F1043" s="22" t="n">
        <f aca="false">Margin_Structure!Q27</f>
        <v>83003</v>
      </c>
      <c r="G1043" s="12" t="n">
        <v>83003</v>
      </c>
      <c r="H1043" s="10" t="n">
        <f aca="false">F1043-G1043</f>
        <v>0</v>
      </c>
      <c r="I1043" s="10" t="str">
        <f aca="false">IF(ABS(H1043)&lt;=0.000001,"PASS","FAIL")</f>
        <v>PASS</v>
      </c>
      <c r="J1043" s="10" t="s">
        <v>3662</v>
      </c>
    </row>
    <row r="1044" customFormat="false" ht="15" hidden="false" customHeight="false" outlineLevel="0" collapsed="false">
      <c r="A1044" s="10" t="s">
        <v>3663</v>
      </c>
      <c r="B1044" s="10" t="s">
        <v>1104</v>
      </c>
      <c r="C1044" s="10" t="s">
        <v>3664</v>
      </c>
      <c r="D1044" s="10" t="s">
        <v>1136</v>
      </c>
      <c r="E1044" s="10" t="s">
        <v>759</v>
      </c>
      <c r="F1044" s="22" t="n">
        <f aca="false">Margin_Structure!T27</f>
        <v>162402</v>
      </c>
      <c r="G1044" s="12" t="n">
        <v>162402</v>
      </c>
      <c r="H1044" s="10" t="n">
        <f aca="false">F1044-G1044</f>
        <v>0</v>
      </c>
      <c r="I1044" s="10" t="str">
        <f aca="false">IF(ABS(H1044)&lt;=0.000001,"PASS","FAIL")</f>
        <v>PASS</v>
      </c>
      <c r="J1044" s="10" t="s">
        <v>3665</v>
      </c>
    </row>
    <row r="1045" customFormat="false" ht="15" hidden="false" customHeight="false" outlineLevel="0" collapsed="false">
      <c r="A1045" s="10" t="s">
        <v>3666</v>
      </c>
      <c r="B1045" s="10" t="s">
        <v>1104</v>
      </c>
      <c r="C1045" s="10" t="s">
        <v>3667</v>
      </c>
      <c r="D1045" s="10" t="s">
        <v>1136</v>
      </c>
      <c r="E1045" s="10" t="s">
        <v>760</v>
      </c>
      <c r="F1045" s="22" t="n">
        <f aca="false">Margin_Structure!W27</f>
        <v>149444</v>
      </c>
      <c r="G1045" s="12" t="n">
        <v>149444</v>
      </c>
      <c r="H1045" s="10" t="n">
        <f aca="false">F1045-G1045</f>
        <v>0</v>
      </c>
      <c r="I1045" s="10" t="str">
        <f aca="false">IF(ABS(H1045)&lt;=0.000001,"PASS","FAIL")</f>
        <v>PASS</v>
      </c>
      <c r="J1045" s="10" t="s">
        <v>3668</v>
      </c>
    </row>
    <row r="1046" customFormat="false" ht="15" hidden="false" customHeight="false" outlineLevel="0" collapsed="false">
      <c r="A1046" s="10" t="s">
        <v>3669</v>
      </c>
      <c r="B1046" s="10" t="s">
        <v>1104</v>
      </c>
      <c r="C1046" s="10" t="s">
        <v>3670</v>
      </c>
      <c r="D1046" s="10" t="s">
        <v>1136</v>
      </c>
      <c r="E1046" s="10" t="s">
        <v>761</v>
      </c>
      <c r="F1046" s="22" t="n">
        <f aca="false">Margin_Structure!Z27</f>
        <v>40359</v>
      </c>
      <c r="G1046" s="12" t="n">
        <v>40359</v>
      </c>
      <c r="H1046" s="10" t="n">
        <f aca="false">F1046-G1046</f>
        <v>0</v>
      </c>
      <c r="I1046" s="10" t="str">
        <f aca="false">IF(ABS(H1046)&lt;=0.000001,"PASS","FAIL")</f>
        <v>PASS</v>
      </c>
      <c r="J1046" s="10" t="s">
        <v>3671</v>
      </c>
    </row>
    <row r="1047" customFormat="false" ht="15" hidden="false" customHeight="false" outlineLevel="0" collapsed="false">
      <c r="A1047" s="10" t="s">
        <v>3672</v>
      </c>
      <c r="B1047" s="10" t="s">
        <v>1104</v>
      </c>
      <c r="C1047" s="10" t="s">
        <v>3673</v>
      </c>
      <c r="D1047" s="10" t="s">
        <v>1136</v>
      </c>
      <c r="E1047" s="10" t="s">
        <v>762</v>
      </c>
      <c r="F1047" s="22" t="n">
        <f aca="false">Margin_Structure!AC27</f>
        <v>30665</v>
      </c>
      <c r="G1047" s="12" t="n">
        <v>30665</v>
      </c>
      <c r="H1047" s="10" t="n">
        <f aca="false">F1047-G1047</f>
        <v>0</v>
      </c>
      <c r="I1047" s="10" t="str">
        <f aca="false">IF(ABS(H1047)&lt;=0.000001,"PASS","FAIL")</f>
        <v>PASS</v>
      </c>
      <c r="J1047" s="10" t="s">
        <v>3674</v>
      </c>
    </row>
    <row r="1048" customFormat="false" ht="15" hidden="false" customHeight="false" outlineLevel="0" collapsed="false">
      <c r="A1048" s="10" t="s">
        <v>3675</v>
      </c>
      <c r="B1048" s="10" t="s">
        <v>1104</v>
      </c>
      <c r="C1048" s="10" t="s">
        <v>3676</v>
      </c>
      <c r="D1048" s="10" t="s">
        <v>1136</v>
      </c>
      <c r="E1048" s="10" t="s">
        <v>763</v>
      </c>
      <c r="F1048" s="22" t="n">
        <f aca="false">Margin_Structure!AF27</f>
        <v>-1544</v>
      </c>
      <c r="G1048" s="12" t="n">
        <v>-1544</v>
      </c>
      <c r="H1048" s="10" t="n">
        <f aca="false">F1048-G1048</f>
        <v>0</v>
      </c>
      <c r="I1048" s="10" t="str">
        <f aca="false">IF(ABS(H1048)&lt;=0.000001,"PASS","FAIL")</f>
        <v>PASS</v>
      </c>
      <c r="J1048" s="10" t="s">
        <v>3677</v>
      </c>
    </row>
    <row r="1049" customFormat="false" ht="15" hidden="false" customHeight="false" outlineLevel="0" collapsed="false">
      <c r="A1049" s="10" t="s">
        <v>3678</v>
      </c>
      <c r="B1049" s="10" t="s">
        <v>1104</v>
      </c>
      <c r="C1049" s="10" t="s">
        <v>3679</v>
      </c>
      <c r="D1049" s="10" t="s">
        <v>1136</v>
      </c>
      <c r="E1049" s="10" t="s">
        <v>193</v>
      </c>
      <c r="F1049" s="22" t="n">
        <f aca="false">Margin_Structure!AI27</f>
        <v>61110</v>
      </c>
      <c r="G1049" s="12" t="n">
        <v>61110</v>
      </c>
      <c r="H1049" s="10" t="n">
        <f aca="false">F1049-G1049</f>
        <v>0</v>
      </c>
      <c r="I1049" s="10" t="str">
        <f aca="false">IF(ABS(H1049)&lt;=0.000001,"PASS","FAIL")</f>
        <v>PASS</v>
      </c>
      <c r="J1049" s="10" t="s">
        <v>3680</v>
      </c>
    </row>
    <row r="1050" customFormat="false" ht="15" hidden="false" customHeight="false" outlineLevel="0" collapsed="false">
      <c r="A1050" s="10" t="s">
        <v>3681</v>
      </c>
      <c r="B1050" s="10" t="s">
        <v>1104</v>
      </c>
      <c r="C1050" s="10" t="s">
        <v>3682</v>
      </c>
      <c r="D1050" s="10" t="s">
        <v>1136</v>
      </c>
      <c r="E1050" s="10" t="s">
        <v>235</v>
      </c>
      <c r="F1050" s="22" t="n">
        <f aca="false">Margin_Structure!E28</f>
        <v>308150</v>
      </c>
      <c r="G1050" s="12" t="n">
        <v>308150</v>
      </c>
      <c r="H1050" s="10" t="n">
        <f aca="false">F1050-G1050</f>
        <v>0</v>
      </c>
      <c r="I1050" s="10" t="str">
        <f aca="false">IF(ABS(H1050)&lt;=0.000001,"PASS","FAIL")</f>
        <v>PASS</v>
      </c>
      <c r="J1050" s="10" t="s">
        <v>3683</v>
      </c>
    </row>
    <row r="1051" customFormat="false" ht="15" hidden="false" customHeight="false" outlineLevel="0" collapsed="false">
      <c r="A1051" s="10" t="s">
        <v>3684</v>
      </c>
      <c r="B1051" s="10" t="s">
        <v>1104</v>
      </c>
      <c r="C1051" s="10" t="s">
        <v>3685</v>
      </c>
      <c r="D1051" s="10" t="s">
        <v>1136</v>
      </c>
      <c r="E1051" s="10" t="s">
        <v>765</v>
      </c>
      <c r="F1051" s="22" t="n">
        <f aca="false">Margin_Structure!H28</f>
        <v>269137</v>
      </c>
      <c r="G1051" s="12" t="n">
        <v>269137</v>
      </c>
      <c r="H1051" s="10" t="n">
        <f aca="false">F1051-G1051</f>
        <v>0</v>
      </c>
      <c r="I1051" s="10" t="str">
        <f aca="false">IF(ABS(H1051)&lt;=0.000001,"PASS","FAIL")</f>
        <v>PASS</v>
      </c>
      <c r="J1051" s="10" t="s">
        <v>3686</v>
      </c>
    </row>
    <row r="1052" customFormat="false" ht="15" hidden="false" customHeight="false" outlineLevel="0" collapsed="false">
      <c r="A1052" s="10" t="s">
        <v>3687</v>
      </c>
      <c r="B1052" s="10" t="s">
        <v>1104</v>
      </c>
      <c r="C1052" s="10" t="s">
        <v>3688</v>
      </c>
      <c r="D1052" s="10" t="s">
        <v>1136</v>
      </c>
      <c r="E1052" s="10" t="s">
        <v>766</v>
      </c>
      <c r="F1052" s="22" t="n">
        <f aca="false">Margin_Structure!K28</f>
        <v>276818</v>
      </c>
      <c r="G1052" s="12" t="n">
        <v>276818</v>
      </c>
      <c r="H1052" s="10" t="n">
        <f aca="false">F1052-G1052</f>
        <v>0</v>
      </c>
      <c r="I1052" s="10" t="str">
        <f aca="false">IF(ABS(H1052)&lt;=0.000001,"PASS","FAIL")</f>
        <v>PASS</v>
      </c>
      <c r="J1052" s="10" t="s">
        <v>3689</v>
      </c>
    </row>
    <row r="1053" customFormat="false" ht="15" hidden="false" customHeight="false" outlineLevel="0" collapsed="false">
      <c r="A1053" s="10" t="s">
        <v>3690</v>
      </c>
      <c r="B1053" s="10" t="s">
        <v>1104</v>
      </c>
      <c r="C1053" s="10" t="s">
        <v>3691</v>
      </c>
      <c r="D1053" s="10" t="s">
        <v>1136</v>
      </c>
      <c r="E1053" s="10" t="s">
        <v>767</v>
      </c>
      <c r="F1053" s="22" t="n">
        <f aca="false">Margin_Structure!N28</f>
        <v>73686</v>
      </c>
      <c r="G1053" s="12" t="n">
        <v>73686</v>
      </c>
      <c r="H1053" s="10" t="n">
        <f aca="false">F1053-G1053</f>
        <v>0</v>
      </c>
      <c r="I1053" s="10" t="str">
        <f aca="false">IF(ABS(H1053)&lt;=0.000001,"PASS","FAIL")</f>
        <v>PASS</v>
      </c>
      <c r="J1053" s="10" t="s">
        <v>3692</v>
      </c>
    </row>
    <row r="1054" customFormat="false" ht="15" hidden="false" customHeight="false" outlineLevel="0" collapsed="false">
      <c r="A1054" s="10" t="s">
        <v>3693</v>
      </c>
      <c r="B1054" s="10" t="s">
        <v>1104</v>
      </c>
      <c r="C1054" s="10" t="s">
        <v>3694</v>
      </c>
      <c r="D1054" s="10" t="s">
        <v>1136</v>
      </c>
      <c r="E1054" s="10" t="s">
        <v>768</v>
      </c>
      <c r="F1054" s="22" t="n">
        <f aca="false">Margin_Structure!Q28</f>
        <v>51907</v>
      </c>
      <c r="G1054" s="12" t="n">
        <v>51907</v>
      </c>
      <c r="H1054" s="10" t="n">
        <f aca="false">F1054-G1054</f>
        <v>0</v>
      </c>
      <c r="I1054" s="10" t="str">
        <f aca="false">IF(ABS(H1054)&lt;=0.000001,"PASS","FAIL")</f>
        <v>PASS</v>
      </c>
      <c r="J1054" s="10" t="s">
        <v>3695</v>
      </c>
    </row>
    <row r="1055" customFormat="false" ht="15" hidden="false" customHeight="false" outlineLevel="0" collapsed="false">
      <c r="A1055" s="10" t="s">
        <v>3696</v>
      </c>
      <c r="B1055" s="10" t="s">
        <v>1104</v>
      </c>
      <c r="C1055" s="10" t="s">
        <v>3697</v>
      </c>
      <c r="D1055" s="10" t="s">
        <v>1136</v>
      </c>
      <c r="E1055" s="10" t="s">
        <v>769</v>
      </c>
      <c r="F1055" s="22" t="n">
        <f aca="false">Margin_Structure!T28</f>
        <v>268083</v>
      </c>
      <c r="G1055" s="12" t="n">
        <v>268083</v>
      </c>
      <c r="H1055" s="10" t="n">
        <f aca="false">F1055-G1055</f>
        <v>0</v>
      </c>
      <c r="I1055" s="10" t="str">
        <f aca="false">IF(ABS(H1055)&lt;=0.000001,"PASS","FAIL")</f>
        <v>PASS</v>
      </c>
      <c r="J1055" s="10" t="s">
        <v>3698</v>
      </c>
    </row>
    <row r="1056" customFormat="false" ht="15" hidden="false" customHeight="false" outlineLevel="0" collapsed="false">
      <c r="A1056" s="10" t="s">
        <v>3699</v>
      </c>
      <c r="B1056" s="10" t="s">
        <v>1104</v>
      </c>
      <c r="C1056" s="10" t="s">
        <v>3700</v>
      </c>
      <c r="D1056" s="10" t="s">
        <v>1136</v>
      </c>
      <c r="E1056" s="10" t="s">
        <v>770</v>
      </c>
      <c r="F1056" s="22" t="n">
        <f aca="false">Margin_Structure!W28</f>
        <v>244948</v>
      </c>
      <c r="G1056" s="12" t="n">
        <v>244948</v>
      </c>
      <c r="H1056" s="10" t="n">
        <f aca="false">F1056-G1056</f>
        <v>0</v>
      </c>
      <c r="I1056" s="10" t="str">
        <f aca="false">IF(ABS(H1056)&lt;=0.000001,"PASS","FAIL")</f>
        <v>PASS</v>
      </c>
      <c r="J1056" s="10" t="s">
        <v>3701</v>
      </c>
    </row>
    <row r="1057" customFormat="false" ht="15" hidden="false" customHeight="false" outlineLevel="0" collapsed="false">
      <c r="A1057" s="10" t="s">
        <v>3702</v>
      </c>
      <c r="B1057" s="10" t="s">
        <v>1104</v>
      </c>
      <c r="C1057" s="10" t="s">
        <v>3703</v>
      </c>
      <c r="D1057" s="10" t="s">
        <v>1136</v>
      </c>
      <c r="E1057" s="10" t="s">
        <v>771</v>
      </c>
      <c r="F1057" s="22" t="n">
        <f aca="false">Margin_Structure!Z28</f>
        <v>53493</v>
      </c>
      <c r="G1057" s="12" t="n">
        <v>53493</v>
      </c>
      <c r="H1057" s="10" t="n">
        <f aca="false">F1057-G1057</f>
        <v>0</v>
      </c>
      <c r="I1057" s="10" t="str">
        <f aca="false">IF(ABS(H1057)&lt;=0.000001,"PASS","FAIL")</f>
        <v>PASS</v>
      </c>
      <c r="J1057" s="10" t="s">
        <v>3704</v>
      </c>
    </row>
    <row r="1058" customFormat="false" ht="15" hidden="false" customHeight="false" outlineLevel="0" collapsed="false">
      <c r="A1058" s="10" t="s">
        <v>3705</v>
      </c>
      <c r="B1058" s="10" t="s">
        <v>1104</v>
      </c>
      <c r="C1058" s="10" t="s">
        <v>3706</v>
      </c>
      <c r="D1058" s="10" t="s">
        <v>1136</v>
      </c>
      <c r="E1058" s="10" t="s">
        <v>772</v>
      </c>
      <c r="F1058" s="22" t="n">
        <f aca="false">Margin_Structure!AC28</f>
        <v>32559</v>
      </c>
      <c r="G1058" s="12" t="n">
        <v>32559</v>
      </c>
      <c r="H1058" s="10" t="n">
        <f aca="false">F1058-G1058</f>
        <v>0</v>
      </c>
      <c r="I1058" s="10" t="str">
        <f aca="false">IF(ABS(H1058)&lt;=0.000001,"PASS","FAIL")</f>
        <v>PASS</v>
      </c>
      <c r="J1058" s="10" t="s">
        <v>3707</v>
      </c>
    </row>
    <row r="1059" customFormat="false" ht="15" hidden="false" customHeight="false" outlineLevel="0" collapsed="false">
      <c r="A1059" s="10" t="s">
        <v>3708</v>
      </c>
      <c r="B1059" s="10" t="s">
        <v>1104</v>
      </c>
      <c r="C1059" s="10" t="s">
        <v>3709</v>
      </c>
      <c r="D1059" s="10" t="s">
        <v>1136</v>
      </c>
      <c r="E1059" s="10" t="s">
        <v>773</v>
      </c>
      <c r="F1059" s="22" t="n">
        <f aca="false">Margin_Structure!AF28</f>
        <v>-126125</v>
      </c>
      <c r="G1059" s="12" t="n">
        <v>-126125</v>
      </c>
      <c r="H1059" s="10" t="n">
        <f aca="false">F1059-G1059</f>
        <v>0</v>
      </c>
      <c r="I1059" s="10" t="str">
        <f aca="false">IF(ABS(H1059)&lt;=0.000001,"PASS","FAIL")</f>
        <v>PASS</v>
      </c>
      <c r="J1059" s="10" t="s">
        <v>3710</v>
      </c>
    </row>
    <row r="1060" customFormat="false" ht="15" hidden="false" customHeight="false" outlineLevel="0" collapsed="false">
      <c r="A1060" s="10" t="s">
        <v>3711</v>
      </c>
      <c r="B1060" s="10" t="s">
        <v>1104</v>
      </c>
      <c r="C1060" s="10" t="s">
        <v>3712</v>
      </c>
      <c r="D1060" s="10" t="s">
        <v>1136</v>
      </c>
      <c r="E1060" s="10" t="s">
        <v>233</v>
      </c>
      <c r="F1060" s="22" t="n">
        <f aca="false">Margin_Structure!AI28</f>
        <v>-52596</v>
      </c>
      <c r="G1060" s="12" t="n">
        <v>-52596</v>
      </c>
      <c r="H1060" s="10" t="n">
        <f aca="false">F1060-G1060</f>
        <v>0</v>
      </c>
      <c r="I1060" s="10" t="str">
        <f aca="false">IF(ABS(H1060)&lt;=0.000001,"PASS","FAIL")</f>
        <v>PASS</v>
      </c>
      <c r="J1060" s="10" t="s">
        <v>3713</v>
      </c>
    </row>
    <row r="1061" customFormat="false" ht="15" hidden="false" customHeight="false" outlineLevel="0" collapsed="false">
      <c r="A1061" s="10" t="s">
        <v>3714</v>
      </c>
      <c r="B1061" s="10" t="s">
        <v>1104</v>
      </c>
      <c r="C1061" s="10" t="s">
        <v>3715</v>
      </c>
      <c r="D1061" s="10" t="s">
        <v>1136</v>
      </c>
      <c r="E1061" s="10" t="s">
        <v>242</v>
      </c>
      <c r="F1061" s="22" t="n">
        <f aca="false">Margin_Structure!E29</f>
        <v>519029</v>
      </c>
      <c r="G1061" s="12" t="n">
        <v>519029</v>
      </c>
      <c r="H1061" s="10" t="n">
        <f aca="false">F1061-G1061</f>
        <v>0</v>
      </c>
      <c r="I1061" s="10" t="str">
        <f aca="false">IF(ABS(H1061)&lt;=0.000001,"PASS","FAIL")</f>
        <v>PASS</v>
      </c>
      <c r="J1061" s="10" t="s">
        <v>3716</v>
      </c>
    </row>
    <row r="1062" customFormat="false" ht="15" hidden="false" customHeight="false" outlineLevel="0" collapsed="false">
      <c r="A1062" s="10" t="s">
        <v>3717</v>
      </c>
      <c r="B1062" s="10" t="s">
        <v>1104</v>
      </c>
      <c r="C1062" s="10" t="s">
        <v>3718</v>
      </c>
      <c r="D1062" s="10" t="s">
        <v>1136</v>
      </c>
      <c r="E1062" s="10" t="s">
        <v>774</v>
      </c>
      <c r="F1062" s="22" t="n">
        <f aca="false">Margin_Structure!H29</f>
        <v>452501</v>
      </c>
      <c r="G1062" s="12" t="n">
        <v>452501</v>
      </c>
      <c r="H1062" s="10" t="n">
        <f aca="false">F1062-G1062</f>
        <v>0</v>
      </c>
      <c r="I1062" s="10" t="str">
        <f aca="false">IF(ABS(H1062)&lt;=0.000001,"PASS","FAIL")</f>
        <v>PASS</v>
      </c>
      <c r="J1062" s="10" t="s">
        <v>3719</v>
      </c>
    </row>
    <row r="1063" customFormat="false" ht="15" hidden="false" customHeight="false" outlineLevel="0" collapsed="false">
      <c r="A1063" s="10" t="s">
        <v>3720</v>
      </c>
      <c r="B1063" s="10" t="s">
        <v>1104</v>
      </c>
      <c r="C1063" s="10" t="s">
        <v>3721</v>
      </c>
      <c r="D1063" s="10" t="s">
        <v>1136</v>
      </c>
      <c r="E1063" s="10" t="s">
        <v>775</v>
      </c>
      <c r="F1063" s="22" t="n">
        <f aca="false">Margin_Structure!K29</f>
        <v>462907</v>
      </c>
      <c r="G1063" s="12" t="n">
        <v>462907</v>
      </c>
      <c r="H1063" s="10" t="n">
        <f aca="false">F1063-G1063</f>
        <v>0</v>
      </c>
      <c r="I1063" s="10" t="str">
        <f aca="false">IF(ABS(H1063)&lt;=0.000001,"PASS","FAIL")</f>
        <v>PASS</v>
      </c>
      <c r="J1063" s="10" t="s">
        <v>3722</v>
      </c>
    </row>
    <row r="1064" customFormat="false" ht="15" hidden="false" customHeight="false" outlineLevel="0" collapsed="false">
      <c r="A1064" s="10" t="s">
        <v>3723</v>
      </c>
      <c r="B1064" s="10" t="s">
        <v>1104</v>
      </c>
      <c r="C1064" s="10" t="s">
        <v>3724</v>
      </c>
      <c r="D1064" s="10" t="s">
        <v>1136</v>
      </c>
      <c r="E1064" s="10" t="s">
        <v>776</v>
      </c>
      <c r="F1064" s="22" t="n">
        <f aca="false">Margin_Structure!N29</f>
        <v>127047</v>
      </c>
      <c r="G1064" s="12" t="n">
        <v>127047</v>
      </c>
      <c r="H1064" s="10" t="n">
        <f aca="false">F1064-G1064</f>
        <v>0</v>
      </c>
      <c r="I1064" s="10" t="str">
        <f aca="false">IF(ABS(H1064)&lt;=0.000001,"PASS","FAIL")</f>
        <v>PASS</v>
      </c>
      <c r="J1064" s="10" t="s">
        <v>3725</v>
      </c>
    </row>
    <row r="1065" customFormat="false" ht="15" hidden="false" customHeight="false" outlineLevel="0" collapsed="false">
      <c r="A1065" s="10" t="s">
        <v>3726</v>
      </c>
      <c r="B1065" s="10" t="s">
        <v>1104</v>
      </c>
      <c r="C1065" s="10" t="s">
        <v>3727</v>
      </c>
      <c r="D1065" s="10" t="s">
        <v>1136</v>
      </c>
      <c r="E1065" s="10" t="s">
        <v>777</v>
      </c>
      <c r="F1065" s="22" t="n">
        <f aca="false">Margin_Structure!Q29</f>
        <v>94090</v>
      </c>
      <c r="G1065" s="12" t="n">
        <v>94090</v>
      </c>
      <c r="H1065" s="10" t="n">
        <f aca="false">F1065-G1065</f>
        <v>0</v>
      </c>
      <c r="I1065" s="10" t="str">
        <f aca="false">IF(ABS(H1065)&lt;=0.000001,"PASS","FAIL")</f>
        <v>PASS</v>
      </c>
      <c r="J1065" s="10" t="s">
        <v>3728</v>
      </c>
    </row>
    <row r="1066" customFormat="false" ht="15" hidden="false" customHeight="false" outlineLevel="0" collapsed="false">
      <c r="A1066" s="10" t="s">
        <v>3729</v>
      </c>
      <c r="B1066" s="10" t="s">
        <v>1104</v>
      </c>
      <c r="C1066" s="10" t="s">
        <v>3730</v>
      </c>
      <c r="D1066" s="10" t="s">
        <v>1136</v>
      </c>
      <c r="E1066" s="10" t="s">
        <v>778</v>
      </c>
      <c r="F1066" s="22" t="n">
        <f aca="false">Margin_Structure!T29</f>
        <v>392068</v>
      </c>
      <c r="G1066" s="12" t="n">
        <v>392068</v>
      </c>
      <c r="H1066" s="10" t="n">
        <f aca="false">F1066-G1066</f>
        <v>0</v>
      </c>
      <c r="I1066" s="10" t="str">
        <f aca="false">IF(ABS(H1066)&lt;=0.000001,"PASS","FAIL")</f>
        <v>PASS</v>
      </c>
      <c r="J1066" s="10" t="s">
        <v>3731</v>
      </c>
    </row>
    <row r="1067" customFormat="false" ht="15" hidden="false" customHeight="false" outlineLevel="0" collapsed="false">
      <c r="A1067" s="10" t="s">
        <v>3732</v>
      </c>
      <c r="B1067" s="10" t="s">
        <v>1104</v>
      </c>
      <c r="C1067" s="10" t="s">
        <v>3733</v>
      </c>
      <c r="D1067" s="10" t="s">
        <v>1136</v>
      </c>
      <c r="E1067" s="10" t="s">
        <v>779</v>
      </c>
      <c r="F1067" s="22" t="n">
        <f aca="false">Margin_Structure!W29</f>
        <v>358611</v>
      </c>
      <c r="G1067" s="12" t="n">
        <v>358611</v>
      </c>
      <c r="H1067" s="10" t="n">
        <f aca="false">F1067-G1067</f>
        <v>0</v>
      </c>
      <c r="I1067" s="10" t="str">
        <f aca="false">IF(ABS(H1067)&lt;=0.000001,"PASS","FAIL")</f>
        <v>PASS</v>
      </c>
      <c r="J1067" s="10" t="s">
        <v>3734</v>
      </c>
    </row>
    <row r="1068" customFormat="false" ht="15" hidden="false" customHeight="false" outlineLevel="0" collapsed="false">
      <c r="A1068" s="10" t="s">
        <v>3735</v>
      </c>
      <c r="B1068" s="10" t="s">
        <v>1104</v>
      </c>
      <c r="C1068" s="10" t="s">
        <v>3736</v>
      </c>
      <c r="D1068" s="10" t="s">
        <v>1136</v>
      </c>
      <c r="E1068" s="10" t="s">
        <v>780</v>
      </c>
      <c r="F1068" s="22" t="n">
        <f aca="false">Margin_Structure!Z29</f>
        <v>85401</v>
      </c>
      <c r="G1068" s="12" t="n">
        <v>85401</v>
      </c>
      <c r="H1068" s="10" t="n">
        <f aca="false">F1068-G1068</f>
        <v>0</v>
      </c>
      <c r="I1068" s="10" t="str">
        <f aca="false">IF(ABS(H1068)&lt;=0.000001,"PASS","FAIL")</f>
        <v>PASS</v>
      </c>
      <c r="J1068" s="10" t="s">
        <v>3737</v>
      </c>
    </row>
    <row r="1069" customFormat="false" ht="15" hidden="false" customHeight="false" outlineLevel="0" collapsed="false">
      <c r="A1069" s="10" t="s">
        <v>3738</v>
      </c>
      <c r="B1069" s="10" t="s">
        <v>1104</v>
      </c>
      <c r="C1069" s="10" t="s">
        <v>3739</v>
      </c>
      <c r="D1069" s="10" t="s">
        <v>1136</v>
      </c>
      <c r="E1069" s="10" t="s">
        <v>781</v>
      </c>
      <c r="F1069" s="22" t="n">
        <f aca="false">Margin_Structure!AC29</f>
        <v>57301</v>
      </c>
      <c r="G1069" s="12" t="n">
        <v>57301</v>
      </c>
      <c r="H1069" s="10" t="n">
        <f aca="false">F1069-G1069</f>
        <v>0</v>
      </c>
      <c r="I1069" s="10" t="str">
        <f aca="false">IF(ABS(H1069)&lt;=0.000001,"PASS","FAIL")</f>
        <v>PASS</v>
      </c>
      <c r="J1069" s="10" t="s">
        <v>3740</v>
      </c>
    </row>
    <row r="1070" customFormat="false" ht="15" hidden="false" customHeight="false" outlineLevel="0" collapsed="false">
      <c r="A1070" s="10" t="s">
        <v>3741</v>
      </c>
      <c r="B1070" s="10" t="s">
        <v>1104</v>
      </c>
      <c r="C1070" s="10" t="s">
        <v>3742</v>
      </c>
      <c r="D1070" s="10" t="s">
        <v>1136</v>
      </c>
      <c r="E1070" s="10" t="s">
        <v>782</v>
      </c>
      <c r="F1070" s="22" t="n">
        <f aca="false">Margin_Structure!AF29</f>
        <v>-152015</v>
      </c>
      <c r="G1070" s="12" t="n">
        <v>-152015</v>
      </c>
      <c r="H1070" s="10" t="n">
        <f aca="false">F1070-G1070</f>
        <v>0</v>
      </c>
      <c r="I1070" s="10" t="str">
        <f aca="false">IF(ABS(H1070)&lt;=0.000001,"PASS","FAIL")</f>
        <v>PASS</v>
      </c>
      <c r="J1070" s="10" t="s">
        <v>3743</v>
      </c>
    </row>
    <row r="1071" customFormat="false" ht="15" hidden="false" customHeight="false" outlineLevel="0" collapsed="false">
      <c r="A1071" s="10" t="s">
        <v>3744</v>
      </c>
      <c r="B1071" s="10" t="s">
        <v>1104</v>
      </c>
      <c r="C1071" s="10" t="s">
        <v>3745</v>
      </c>
      <c r="D1071" s="10" t="s">
        <v>1136</v>
      </c>
      <c r="E1071" s="10" t="s">
        <v>240</v>
      </c>
      <c r="F1071" s="22" t="n">
        <f aca="false">Margin_Structure!AI29</f>
        <v>-47095</v>
      </c>
      <c r="G1071" s="12" t="n">
        <v>-47095</v>
      </c>
      <c r="H1071" s="10" t="n">
        <f aca="false">F1071-G1071</f>
        <v>0</v>
      </c>
      <c r="I1071" s="10" t="str">
        <f aca="false">IF(ABS(H1071)&lt;=0.000001,"PASS","FAIL")</f>
        <v>PASS</v>
      </c>
      <c r="J1071" s="10" t="s">
        <v>3746</v>
      </c>
    </row>
    <row r="1072" customFormat="false" ht="15" hidden="false" customHeight="false" outlineLevel="0" collapsed="false">
      <c r="A1072" s="10" t="s">
        <v>3747</v>
      </c>
      <c r="B1072" s="10" t="s">
        <v>1104</v>
      </c>
      <c r="C1072" s="10" t="s">
        <v>3748</v>
      </c>
      <c r="D1072" s="10" t="s">
        <v>1136</v>
      </c>
      <c r="E1072" s="10" t="s">
        <v>253</v>
      </c>
      <c r="F1072" s="22" t="n">
        <f aca="false">Margin_Structure!E30</f>
        <v>729695</v>
      </c>
      <c r="G1072" s="12" t="n">
        <v>729695</v>
      </c>
      <c r="H1072" s="10" t="n">
        <f aca="false">F1072-G1072</f>
        <v>0</v>
      </c>
      <c r="I1072" s="10" t="str">
        <f aca="false">IF(ABS(H1072)&lt;=0.000001,"PASS","FAIL")</f>
        <v>PASS</v>
      </c>
      <c r="J1072" s="10" t="s">
        <v>3749</v>
      </c>
    </row>
    <row r="1073" customFormat="false" ht="15" hidden="false" customHeight="false" outlineLevel="0" collapsed="false">
      <c r="A1073" s="10" t="s">
        <v>3750</v>
      </c>
      <c r="B1073" s="10" t="s">
        <v>1104</v>
      </c>
      <c r="C1073" s="10" t="s">
        <v>3751</v>
      </c>
      <c r="D1073" s="10" t="s">
        <v>1136</v>
      </c>
      <c r="E1073" s="10" t="s">
        <v>783</v>
      </c>
      <c r="F1073" s="22" t="n">
        <f aca="false">Margin_Structure!H30</f>
        <v>649050</v>
      </c>
      <c r="G1073" s="12" t="n">
        <v>649050</v>
      </c>
      <c r="H1073" s="10" t="n">
        <f aca="false">F1073-G1073</f>
        <v>0</v>
      </c>
      <c r="I1073" s="10" t="str">
        <f aca="false">IF(ABS(H1073)&lt;=0.000001,"PASS","FAIL")</f>
        <v>PASS</v>
      </c>
      <c r="J1073" s="10" t="s">
        <v>3752</v>
      </c>
    </row>
    <row r="1074" customFormat="false" ht="15" hidden="false" customHeight="false" outlineLevel="0" collapsed="false">
      <c r="A1074" s="10" t="s">
        <v>3753</v>
      </c>
      <c r="B1074" s="10" t="s">
        <v>1104</v>
      </c>
      <c r="C1074" s="10" t="s">
        <v>3754</v>
      </c>
      <c r="D1074" s="10" t="s">
        <v>1136</v>
      </c>
      <c r="E1074" s="10" t="s">
        <v>784</v>
      </c>
      <c r="F1074" s="22" t="n">
        <f aca="false">Margin_Structure!K30</f>
        <v>655357</v>
      </c>
      <c r="G1074" s="12" t="n">
        <v>655357</v>
      </c>
      <c r="H1074" s="10" t="n">
        <f aca="false">F1074-G1074</f>
        <v>0</v>
      </c>
      <c r="I1074" s="10" t="str">
        <f aca="false">IF(ABS(H1074)&lt;=0.000001,"PASS","FAIL")</f>
        <v>PASS</v>
      </c>
      <c r="J1074" s="10" t="s">
        <v>3755</v>
      </c>
    </row>
    <row r="1075" customFormat="false" ht="15" hidden="false" customHeight="false" outlineLevel="0" collapsed="false">
      <c r="A1075" s="10" t="s">
        <v>3756</v>
      </c>
      <c r="B1075" s="10" t="s">
        <v>1104</v>
      </c>
      <c r="C1075" s="10" t="s">
        <v>3757</v>
      </c>
      <c r="D1075" s="10" t="s">
        <v>1136</v>
      </c>
      <c r="E1075" s="10" t="s">
        <v>785</v>
      </c>
      <c r="F1075" s="22" t="n">
        <f aca="false">Margin_Structure!N30</f>
        <v>156500</v>
      </c>
      <c r="G1075" s="12" t="n">
        <v>156500</v>
      </c>
      <c r="H1075" s="10" t="n">
        <f aca="false">F1075-G1075</f>
        <v>0</v>
      </c>
      <c r="I1075" s="10" t="str">
        <f aca="false">IF(ABS(H1075)&lt;=0.000001,"PASS","FAIL")</f>
        <v>PASS</v>
      </c>
      <c r="J1075" s="10" t="s">
        <v>3758</v>
      </c>
    </row>
    <row r="1076" customFormat="false" ht="15" hidden="false" customHeight="false" outlineLevel="0" collapsed="false">
      <c r="A1076" s="10" t="s">
        <v>3759</v>
      </c>
      <c r="B1076" s="10" t="s">
        <v>1104</v>
      </c>
      <c r="C1076" s="10" t="s">
        <v>3760</v>
      </c>
      <c r="D1076" s="10" t="s">
        <v>1136</v>
      </c>
      <c r="E1076" s="10" t="s">
        <v>786</v>
      </c>
      <c r="F1076" s="22" t="n">
        <f aca="false">Margin_Structure!Q30</f>
        <v>117763</v>
      </c>
      <c r="G1076" s="12" t="n">
        <v>117763</v>
      </c>
      <c r="H1076" s="10" t="n">
        <f aca="false">F1076-G1076</f>
        <v>0</v>
      </c>
      <c r="I1076" s="10" t="str">
        <f aca="false">IF(ABS(H1076)&lt;=0.000001,"PASS","FAIL")</f>
        <v>PASS</v>
      </c>
      <c r="J1076" s="10" t="s">
        <v>3761</v>
      </c>
    </row>
    <row r="1077" customFormat="false" ht="15" hidden="false" customHeight="false" outlineLevel="0" collapsed="false">
      <c r="A1077" s="10" t="s">
        <v>3762</v>
      </c>
      <c r="B1077" s="10" t="s">
        <v>1104</v>
      </c>
      <c r="C1077" s="10" t="s">
        <v>3763</v>
      </c>
      <c r="D1077" s="10" t="s">
        <v>1136</v>
      </c>
      <c r="E1077" s="10" t="s">
        <v>787</v>
      </c>
      <c r="F1077" s="22" t="n">
        <f aca="false">Margin_Structure!T30</f>
        <v>438402</v>
      </c>
      <c r="G1077" s="12" t="n">
        <v>438402</v>
      </c>
      <c r="H1077" s="10" t="n">
        <f aca="false">F1077-G1077</f>
        <v>0</v>
      </c>
      <c r="I1077" s="10" t="str">
        <f aca="false">IF(ABS(H1077)&lt;=0.000001,"PASS","FAIL")</f>
        <v>PASS</v>
      </c>
      <c r="J1077" s="10" t="s">
        <v>3764</v>
      </c>
    </row>
    <row r="1078" customFormat="false" ht="15" hidden="false" customHeight="false" outlineLevel="0" collapsed="false">
      <c r="A1078" s="10" t="s">
        <v>3765</v>
      </c>
      <c r="B1078" s="10" t="s">
        <v>1104</v>
      </c>
      <c r="C1078" s="10" t="s">
        <v>3766</v>
      </c>
      <c r="D1078" s="10" t="s">
        <v>1136</v>
      </c>
      <c r="E1078" s="10" t="s">
        <v>788</v>
      </c>
      <c r="F1078" s="22" t="n">
        <f aca="false">Margin_Structure!W30</f>
        <v>413007</v>
      </c>
      <c r="G1078" s="12" t="n">
        <v>413007</v>
      </c>
      <c r="H1078" s="10" t="n">
        <f aca="false">F1078-G1078</f>
        <v>0</v>
      </c>
      <c r="I1078" s="10" t="str">
        <f aca="false">IF(ABS(H1078)&lt;=0.000001,"PASS","FAIL")</f>
        <v>PASS</v>
      </c>
      <c r="J1078" s="10" t="s">
        <v>3767</v>
      </c>
    </row>
    <row r="1079" customFormat="false" ht="15" hidden="false" customHeight="false" outlineLevel="0" collapsed="false">
      <c r="A1079" s="10" t="s">
        <v>3768</v>
      </c>
      <c r="B1079" s="10" t="s">
        <v>1104</v>
      </c>
      <c r="C1079" s="10" t="s">
        <v>3769</v>
      </c>
      <c r="D1079" s="10" t="s">
        <v>1136</v>
      </c>
      <c r="E1079" s="10" t="s">
        <v>789</v>
      </c>
      <c r="F1079" s="22" t="n">
        <f aca="false">Margin_Structure!Z30</f>
        <v>92733</v>
      </c>
      <c r="G1079" s="12" t="n">
        <v>92733</v>
      </c>
      <c r="H1079" s="10" t="n">
        <f aca="false">F1079-G1079</f>
        <v>0</v>
      </c>
      <c r="I1079" s="10" t="str">
        <f aca="false">IF(ABS(H1079)&lt;=0.000001,"PASS","FAIL")</f>
        <v>PASS</v>
      </c>
      <c r="J1079" s="10" t="s">
        <v>3770</v>
      </c>
    </row>
    <row r="1080" customFormat="false" ht="15" hidden="false" customHeight="false" outlineLevel="0" collapsed="false">
      <c r="A1080" s="10" t="s">
        <v>3771</v>
      </c>
      <c r="B1080" s="10" t="s">
        <v>1104</v>
      </c>
      <c r="C1080" s="10" t="s">
        <v>3772</v>
      </c>
      <c r="D1080" s="10" t="s">
        <v>1136</v>
      </c>
      <c r="E1080" s="10" t="s">
        <v>790</v>
      </c>
      <c r="F1080" s="22" t="n">
        <f aca="false">Margin_Structure!AC30</f>
        <v>62986</v>
      </c>
      <c r="G1080" s="12" t="n">
        <v>62986</v>
      </c>
      <c r="H1080" s="10" t="n">
        <f aca="false">F1080-G1080</f>
        <v>0</v>
      </c>
      <c r="I1080" s="10" t="str">
        <f aca="false">IF(ABS(H1080)&lt;=0.000001,"PASS","FAIL")</f>
        <v>PASS</v>
      </c>
      <c r="J1080" s="10" t="s">
        <v>3773</v>
      </c>
    </row>
    <row r="1081" customFormat="false" ht="15" hidden="false" customHeight="false" outlineLevel="0" collapsed="false">
      <c r="A1081" s="10" t="s">
        <v>3774</v>
      </c>
      <c r="B1081" s="10" t="s">
        <v>1104</v>
      </c>
      <c r="C1081" s="10" t="s">
        <v>3775</v>
      </c>
      <c r="D1081" s="10" t="s">
        <v>1136</v>
      </c>
      <c r="E1081" s="10" t="s">
        <v>791</v>
      </c>
      <c r="F1081" s="22" t="n">
        <f aca="false">Margin_Structure!AF30</f>
        <v>-38585</v>
      </c>
      <c r="G1081" s="12" t="n">
        <v>-38585</v>
      </c>
      <c r="H1081" s="10" t="n">
        <f aca="false">F1081-G1081</f>
        <v>0</v>
      </c>
      <c r="I1081" s="10" t="str">
        <f aca="false">IF(ABS(H1081)&lt;=0.000001,"PASS","FAIL")</f>
        <v>PASS</v>
      </c>
      <c r="J1081" s="10" t="s">
        <v>3776</v>
      </c>
    </row>
    <row r="1082" customFormat="false" ht="15" hidden="false" customHeight="false" outlineLevel="0" collapsed="false">
      <c r="A1082" s="10" t="s">
        <v>3777</v>
      </c>
      <c r="B1082" s="10" t="s">
        <v>1104</v>
      </c>
      <c r="C1082" s="10" t="s">
        <v>3778</v>
      </c>
      <c r="D1082" s="10" t="s">
        <v>1136</v>
      </c>
      <c r="E1082" s="10" t="s">
        <v>251</v>
      </c>
      <c r="F1082" s="22" t="n">
        <f aca="false">Margin_Structure!AI30</f>
        <v>61601</v>
      </c>
      <c r="G1082" s="12" t="n">
        <v>61601</v>
      </c>
      <c r="H1082" s="10" t="n">
        <f aca="false">F1082-G1082</f>
        <v>0</v>
      </c>
      <c r="I1082" s="10" t="str">
        <f aca="false">IF(ABS(H1082)&lt;=0.000001,"PASS","FAIL")</f>
        <v>PASS</v>
      </c>
      <c r="J1082" s="10" t="s">
        <v>3779</v>
      </c>
    </row>
    <row r="1083" customFormat="false" ht="15" hidden="false" customHeight="false" outlineLevel="0" collapsed="false">
      <c r="A1083" s="10" t="s">
        <v>3780</v>
      </c>
      <c r="B1083" s="10" t="s">
        <v>1104</v>
      </c>
      <c r="C1083" s="10" t="s">
        <v>3781</v>
      </c>
      <c r="D1083" s="10" t="s">
        <v>1136</v>
      </c>
      <c r="E1083" s="10" t="s">
        <v>266</v>
      </c>
      <c r="F1083" s="22" t="n">
        <f aca="false">Margin_Structure!E31</f>
        <v>971995</v>
      </c>
      <c r="G1083" s="12" t="n">
        <v>971995</v>
      </c>
      <c r="H1083" s="10" t="n">
        <f aca="false">F1083-G1083</f>
        <v>0</v>
      </c>
      <c r="I1083" s="10" t="str">
        <f aca="false">IF(ABS(H1083)&lt;=0.000001,"PASS","FAIL")</f>
        <v>PASS</v>
      </c>
      <c r="J1083" s="10" t="s">
        <v>3782</v>
      </c>
    </row>
    <row r="1084" customFormat="false" ht="15" hidden="false" customHeight="false" outlineLevel="0" collapsed="false">
      <c r="A1084" s="10" t="s">
        <v>3783</v>
      </c>
      <c r="B1084" s="10" t="s">
        <v>1104</v>
      </c>
      <c r="C1084" s="10" t="s">
        <v>3784</v>
      </c>
      <c r="D1084" s="10" t="s">
        <v>1136</v>
      </c>
      <c r="E1084" s="10" t="s">
        <v>792</v>
      </c>
      <c r="F1084" s="22" t="n">
        <f aca="false">Margin_Structure!H31</f>
        <v>868304</v>
      </c>
      <c r="G1084" s="12" t="n">
        <v>868304</v>
      </c>
      <c r="H1084" s="10" t="n">
        <f aca="false">F1084-G1084</f>
        <v>0</v>
      </c>
      <c r="I1084" s="10" t="str">
        <f aca="false">IF(ABS(H1084)&lt;=0.000001,"PASS","FAIL")</f>
        <v>PASS</v>
      </c>
      <c r="J1084" s="10" t="s">
        <v>3785</v>
      </c>
    </row>
    <row r="1085" customFormat="false" ht="15" hidden="false" customHeight="false" outlineLevel="0" collapsed="false">
      <c r="A1085" s="10" t="s">
        <v>3786</v>
      </c>
      <c r="B1085" s="10" t="s">
        <v>1104</v>
      </c>
      <c r="C1085" s="10" t="s">
        <v>3787</v>
      </c>
      <c r="D1085" s="10" t="s">
        <v>1136</v>
      </c>
      <c r="E1085" s="10" t="s">
        <v>793</v>
      </c>
      <c r="F1085" s="22" t="n">
        <f aca="false">Margin_Structure!K31</f>
        <v>874907</v>
      </c>
      <c r="G1085" s="12" t="n">
        <v>874907</v>
      </c>
      <c r="H1085" s="10" t="n">
        <f aca="false">F1085-G1085</f>
        <v>0</v>
      </c>
      <c r="I1085" s="10" t="str">
        <f aca="false">IF(ABS(H1085)&lt;=0.000001,"PASS","FAIL")</f>
        <v>PASS</v>
      </c>
      <c r="J1085" s="10" t="s">
        <v>3788</v>
      </c>
    </row>
    <row r="1086" customFormat="false" ht="15" hidden="false" customHeight="false" outlineLevel="0" collapsed="false">
      <c r="A1086" s="10" t="s">
        <v>3789</v>
      </c>
      <c r="B1086" s="10" t="s">
        <v>1104</v>
      </c>
      <c r="C1086" s="10" t="s">
        <v>3790</v>
      </c>
      <c r="D1086" s="10" t="s">
        <v>1136</v>
      </c>
      <c r="E1086" s="10" t="s">
        <v>794</v>
      </c>
      <c r="F1086" s="22" t="n">
        <f aca="false">Margin_Structure!N31</f>
        <v>213709</v>
      </c>
      <c r="G1086" s="12" t="n">
        <v>213709</v>
      </c>
      <c r="H1086" s="10" t="n">
        <f aca="false">F1086-G1086</f>
        <v>0</v>
      </c>
      <c r="I1086" s="10" t="str">
        <f aca="false">IF(ABS(H1086)&lt;=0.000001,"PASS","FAIL")</f>
        <v>PASS</v>
      </c>
      <c r="J1086" s="10" t="s">
        <v>3791</v>
      </c>
    </row>
    <row r="1087" customFormat="false" ht="15" hidden="false" customHeight="false" outlineLevel="0" collapsed="false">
      <c r="A1087" s="10" t="s">
        <v>3792</v>
      </c>
      <c r="B1087" s="10" t="s">
        <v>1104</v>
      </c>
      <c r="C1087" s="10" t="s">
        <v>3793</v>
      </c>
      <c r="D1087" s="10" t="s">
        <v>1136</v>
      </c>
      <c r="E1087" s="10" t="s">
        <v>795</v>
      </c>
      <c r="F1087" s="22" t="n">
        <f aca="false">Margin_Structure!Q31</f>
        <v>162714</v>
      </c>
      <c r="G1087" s="12" t="n">
        <v>162714</v>
      </c>
      <c r="H1087" s="10" t="n">
        <f aca="false">F1087-G1087</f>
        <v>0</v>
      </c>
      <c r="I1087" s="10" t="str">
        <f aca="false">IF(ABS(H1087)&lt;=0.000001,"PASS","FAIL")</f>
        <v>PASS</v>
      </c>
      <c r="J1087" s="10" t="s">
        <v>3794</v>
      </c>
    </row>
    <row r="1088" customFormat="false" ht="15" hidden="false" customHeight="false" outlineLevel="0" collapsed="false">
      <c r="A1088" s="10" t="s">
        <v>3795</v>
      </c>
      <c r="B1088" s="10" t="s">
        <v>1104</v>
      </c>
      <c r="C1088" s="10" t="s">
        <v>3796</v>
      </c>
      <c r="D1088" s="10" t="s">
        <v>1136</v>
      </c>
      <c r="E1088" s="10" t="s">
        <v>796</v>
      </c>
      <c r="F1088" s="22" t="n">
        <f aca="false">Margin_Structure!T31</f>
        <v>533539</v>
      </c>
      <c r="G1088" s="12" t="n">
        <v>533539</v>
      </c>
      <c r="H1088" s="10" t="n">
        <f aca="false">F1088-G1088</f>
        <v>0</v>
      </c>
      <c r="I1088" s="10" t="str">
        <f aca="false">IF(ABS(H1088)&lt;=0.000001,"PASS","FAIL")</f>
        <v>PASS</v>
      </c>
      <c r="J1088" s="10" t="s">
        <v>3797</v>
      </c>
    </row>
    <row r="1089" customFormat="false" ht="15" hidden="false" customHeight="false" outlineLevel="0" collapsed="false">
      <c r="A1089" s="10" t="s">
        <v>3798</v>
      </c>
      <c r="B1089" s="10" t="s">
        <v>1104</v>
      </c>
      <c r="C1089" s="10" t="s">
        <v>3799</v>
      </c>
      <c r="D1089" s="10" t="s">
        <v>1136</v>
      </c>
      <c r="E1089" s="10" t="s">
        <v>797</v>
      </c>
      <c r="F1089" s="22" t="n">
        <f aca="false">Margin_Structure!W31</f>
        <v>499674</v>
      </c>
      <c r="G1089" s="12" t="n">
        <v>499674</v>
      </c>
      <c r="H1089" s="10" t="n">
        <f aca="false">F1089-G1089</f>
        <v>0</v>
      </c>
      <c r="I1089" s="10" t="str">
        <f aca="false">IF(ABS(H1089)&lt;=0.000001,"PASS","FAIL")</f>
        <v>PASS</v>
      </c>
      <c r="J1089" s="10" t="s">
        <v>3800</v>
      </c>
    </row>
    <row r="1090" customFormat="false" ht="15" hidden="false" customHeight="false" outlineLevel="0" collapsed="false">
      <c r="A1090" s="10" t="s">
        <v>3801</v>
      </c>
      <c r="B1090" s="10" t="s">
        <v>1104</v>
      </c>
      <c r="C1090" s="10" t="s">
        <v>3802</v>
      </c>
      <c r="D1090" s="10" t="s">
        <v>1136</v>
      </c>
      <c r="E1090" s="10" t="s">
        <v>798</v>
      </c>
      <c r="F1090" s="22" t="n">
        <f aca="false">Margin_Structure!Z31</f>
        <v>142090</v>
      </c>
      <c r="G1090" s="12" t="n">
        <v>142090</v>
      </c>
      <c r="H1090" s="10" t="n">
        <f aca="false">F1090-G1090</f>
        <v>0</v>
      </c>
      <c r="I1090" s="10" t="str">
        <f aca="false">IF(ABS(H1090)&lt;=0.000001,"PASS","FAIL")</f>
        <v>PASS</v>
      </c>
      <c r="J1090" s="10" t="s">
        <v>3803</v>
      </c>
    </row>
    <row r="1091" customFormat="false" ht="15" hidden="false" customHeight="false" outlineLevel="0" collapsed="false">
      <c r="A1091" s="10" t="s">
        <v>3804</v>
      </c>
      <c r="B1091" s="10" t="s">
        <v>1104</v>
      </c>
      <c r="C1091" s="10" t="s">
        <v>3805</v>
      </c>
      <c r="D1091" s="10" t="s">
        <v>1136</v>
      </c>
      <c r="E1091" s="10" t="s">
        <v>799</v>
      </c>
      <c r="F1091" s="22" t="n">
        <f aca="false">Margin_Structure!AC31</f>
        <v>80136</v>
      </c>
      <c r="G1091" s="12" t="n">
        <v>80136</v>
      </c>
      <c r="H1091" s="10" t="n">
        <f aca="false">F1091-G1091</f>
        <v>0</v>
      </c>
      <c r="I1091" s="10" t="str">
        <f aca="false">IF(ABS(H1091)&lt;=0.000001,"PASS","FAIL")</f>
        <v>PASS</v>
      </c>
      <c r="J1091" s="10" t="s">
        <v>3806</v>
      </c>
    </row>
    <row r="1092" customFormat="false" ht="15" hidden="false" customHeight="false" outlineLevel="0" collapsed="false">
      <c r="A1092" s="10" t="s">
        <v>3807</v>
      </c>
      <c r="B1092" s="10" t="s">
        <v>1104</v>
      </c>
      <c r="C1092" s="10" t="s">
        <v>3808</v>
      </c>
      <c r="D1092" s="10" t="s">
        <v>1136</v>
      </c>
      <c r="E1092" s="10" t="s">
        <v>800</v>
      </c>
      <c r="F1092" s="22" t="n">
        <f aca="false">Margin_Structure!AF31</f>
        <v>-21034</v>
      </c>
      <c r="G1092" s="12" t="n">
        <v>-21034</v>
      </c>
      <c r="H1092" s="10" t="n">
        <f aca="false">F1092-G1092</f>
        <v>0</v>
      </c>
      <c r="I1092" s="10" t="str">
        <f aca="false">IF(ABS(H1092)&lt;=0.000001,"PASS","FAIL")</f>
        <v>PASS</v>
      </c>
      <c r="J1092" s="10" t="s">
        <v>3809</v>
      </c>
    </row>
    <row r="1093" customFormat="false" ht="15" hidden="false" customHeight="false" outlineLevel="0" collapsed="false">
      <c r="A1093" s="10" t="s">
        <v>3810</v>
      </c>
      <c r="B1093" s="10" t="s">
        <v>1104</v>
      </c>
      <c r="C1093" s="10" t="s">
        <v>3811</v>
      </c>
      <c r="D1093" s="10" t="s">
        <v>1136</v>
      </c>
      <c r="E1093" s="10" t="s">
        <v>264</v>
      </c>
      <c r="F1093" s="22" t="n">
        <f aca="false">Margin_Structure!AI31</f>
        <v>132383</v>
      </c>
      <c r="G1093" s="12" t="n">
        <v>132383</v>
      </c>
      <c r="H1093" s="10" t="n">
        <f aca="false">F1093-G1093</f>
        <v>0</v>
      </c>
      <c r="I1093" s="10" t="str">
        <f aca="false">IF(ABS(H1093)&lt;=0.000001,"PASS","FAIL")</f>
        <v>PASS</v>
      </c>
      <c r="J1093" s="10" t="s">
        <v>3812</v>
      </c>
    </row>
    <row r="1094" customFormat="false" ht="15" hidden="false" customHeight="false" outlineLevel="0" collapsed="false">
      <c r="A1094" s="10" t="s">
        <v>3813</v>
      </c>
      <c r="B1094" s="10" t="s">
        <v>1104</v>
      </c>
      <c r="C1094" s="10" t="s">
        <v>3814</v>
      </c>
      <c r="D1094" s="10" t="s">
        <v>1136</v>
      </c>
      <c r="E1094" s="10" t="s">
        <v>282</v>
      </c>
      <c r="F1094" s="22" t="n">
        <f aca="false">Margin_Structure!E32</f>
        <v>1231997</v>
      </c>
      <c r="G1094" s="12" t="n">
        <v>1231997</v>
      </c>
      <c r="H1094" s="10" t="n">
        <f aca="false">F1094-G1094</f>
        <v>0</v>
      </c>
      <c r="I1094" s="10" t="str">
        <f aca="false">IF(ABS(H1094)&lt;=0.000001,"PASS","FAIL")</f>
        <v>PASS</v>
      </c>
      <c r="J1094" s="10" t="s">
        <v>3815</v>
      </c>
    </row>
    <row r="1095" customFormat="false" ht="15" hidden="false" customHeight="false" outlineLevel="0" collapsed="false">
      <c r="A1095" s="10" t="s">
        <v>3816</v>
      </c>
      <c r="B1095" s="10" t="s">
        <v>1104</v>
      </c>
      <c r="C1095" s="10" t="s">
        <v>3817</v>
      </c>
      <c r="D1095" s="10" t="s">
        <v>1136</v>
      </c>
      <c r="E1095" s="10" t="s">
        <v>801</v>
      </c>
      <c r="F1095" s="22" t="n">
        <f aca="false">Margin_Structure!H32</f>
        <v>1098898</v>
      </c>
      <c r="G1095" s="12" t="n">
        <v>1098898</v>
      </c>
      <c r="H1095" s="10" t="n">
        <f aca="false">F1095-G1095</f>
        <v>0</v>
      </c>
      <c r="I1095" s="10" t="str">
        <f aca="false">IF(ABS(H1095)&lt;=0.000001,"PASS","FAIL")</f>
        <v>PASS</v>
      </c>
      <c r="J1095" s="10" t="s">
        <v>3818</v>
      </c>
    </row>
    <row r="1096" customFormat="false" ht="15" hidden="false" customHeight="false" outlineLevel="0" collapsed="false">
      <c r="A1096" s="10" t="s">
        <v>3819</v>
      </c>
      <c r="B1096" s="10" t="s">
        <v>1104</v>
      </c>
      <c r="C1096" s="10" t="s">
        <v>3820</v>
      </c>
      <c r="D1096" s="10" t="s">
        <v>1136</v>
      </c>
      <c r="E1096" s="10" t="s">
        <v>802</v>
      </c>
      <c r="F1096" s="22" t="n">
        <f aca="false">Margin_Structure!K32</f>
        <v>1107459</v>
      </c>
      <c r="G1096" s="12" t="n">
        <v>1107459</v>
      </c>
      <c r="H1096" s="10" t="n">
        <f aca="false">F1096-G1096</f>
        <v>0</v>
      </c>
      <c r="I1096" s="10" t="str">
        <f aca="false">IF(ABS(H1096)&lt;=0.000001,"PASS","FAIL")</f>
        <v>PASS</v>
      </c>
      <c r="J1096" s="10" t="s">
        <v>3821</v>
      </c>
    </row>
    <row r="1097" customFormat="false" ht="15" hidden="false" customHeight="false" outlineLevel="0" collapsed="false">
      <c r="A1097" s="10" t="s">
        <v>3822</v>
      </c>
      <c r="B1097" s="10" t="s">
        <v>1104</v>
      </c>
      <c r="C1097" s="10" t="s">
        <v>3823</v>
      </c>
      <c r="D1097" s="10" t="s">
        <v>1136</v>
      </c>
      <c r="E1097" s="10" t="s">
        <v>803</v>
      </c>
      <c r="F1097" s="22" t="n">
        <f aca="false">Margin_Structure!N32</f>
        <v>320799</v>
      </c>
      <c r="G1097" s="12" t="n">
        <v>320799</v>
      </c>
      <c r="H1097" s="10" t="n">
        <f aca="false">F1097-G1097</f>
        <v>0</v>
      </c>
      <c r="I1097" s="10" t="str">
        <f aca="false">IF(ABS(H1097)&lt;=0.000001,"PASS","FAIL")</f>
        <v>PASS</v>
      </c>
      <c r="J1097" s="10" t="s">
        <v>3824</v>
      </c>
    </row>
    <row r="1098" customFormat="false" ht="15" hidden="false" customHeight="false" outlineLevel="0" collapsed="false">
      <c r="A1098" s="10" t="s">
        <v>3825</v>
      </c>
      <c r="B1098" s="10" t="s">
        <v>1104</v>
      </c>
      <c r="C1098" s="10" t="s">
        <v>3826</v>
      </c>
      <c r="D1098" s="10" t="s">
        <v>1136</v>
      </c>
      <c r="E1098" s="10" t="s">
        <v>804</v>
      </c>
      <c r="F1098" s="22" t="n">
        <f aca="false">Margin_Structure!Q32</f>
        <v>238549</v>
      </c>
      <c r="G1098" s="12" t="n">
        <v>238549</v>
      </c>
      <c r="H1098" s="10" t="n">
        <f aca="false">F1098-G1098</f>
        <v>0</v>
      </c>
      <c r="I1098" s="10" t="str">
        <f aca="false">IF(ABS(H1098)&lt;=0.000001,"PASS","FAIL")</f>
        <v>PASS</v>
      </c>
      <c r="J1098" s="10" t="s">
        <v>3827</v>
      </c>
    </row>
    <row r="1099" customFormat="false" ht="15" hidden="false" customHeight="false" outlineLevel="0" collapsed="false">
      <c r="A1099" s="10" t="s">
        <v>3828</v>
      </c>
      <c r="B1099" s="10" t="s">
        <v>1104</v>
      </c>
      <c r="C1099" s="10" t="s">
        <v>3829</v>
      </c>
      <c r="D1099" s="10" t="s">
        <v>1136</v>
      </c>
      <c r="E1099" s="10" t="s">
        <v>805</v>
      </c>
      <c r="F1099" s="22" t="n">
        <f aca="false">Margin_Structure!T32</f>
        <v>630851</v>
      </c>
      <c r="G1099" s="12" t="n">
        <v>630851</v>
      </c>
      <c r="H1099" s="10" t="n">
        <f aca="false">F1099-G1099</f>
        <v>0</v>
      </c>
      <c r="I1099" s="10" t="str">
        <f aca="false">IF(ABS(H1099)&lt;=0.000001,"PASS","FAIL")</f>
        <v>PASS</v>
      </c>
      <c r="J1099" s="10" t="s">
        <v>3830</v>
      </c>
    </row>
    <row r="1100" customFormat="false" ht="15" hidden="false" customHeight="false" outlineLevel="0" collapsed="false">
      <c r="A1100" s="10" t="s">
        <v>3831</v>
      </c>
      <c r="B1100" s="10" t="s">
        <v>1104</v>
      </c>
      <c r="C1100" s="10" t="s">
        <v>3832</v>
      </c>
      <c r="D1100" s="10" t="s">
        <v>1136</v>
      </c>
      <c r="E1100" s="10" t="s">
        <v>806</v>
      </c>
      <c r="F1100" s="22" t="n">
        <f aca="false">Margin_Structure!W32</f>
        <v>586767</v>
      </c>
      <c r="G1100" s="12" t="n">
        <v>586767</v>
      </c>
      <c r="H1100" s="10" t="n">
        <f aca="false">F1100-G1100</f>
        <v>0</v>
      </c>
      <c r="I1100" s="10" t="str">
        <f aca="false">IF(ABS(H1100)&lt;=0.000001,"PASS","FAIL")</f>
        <v>PASS</v>
      </c>
      <c r="J1100" s="10" t="s">
        <v>3833</v>
      </c>
    </row>
    <row r="1101" customFormat="false" ht="15" hidden="false" customHeight="false" outlineLevel="0" collapsed="false">
      <c r="A1101" s="10" t="s">
        <v>3834</v>
      </c>
      <c r="B1101" s="10" t="s">
        <v>1104</v>
      </c>
      <c r="C1101" s="10" t="s">
        <v>3835</v>
      </c>
      <c r="D1101" s="10" t="s">
        <v>1136</v>
      </c>
      <c r="E1101" s="10" t="s">
        <v>807</v>
      </c>
      <c r="F1101" s="22" t="n">
        <f aca="false">Margin_Structure!Z32</f>
        <v>148996</v>
      </c>
      <c r="G1101" s="12" t="n">
        <v>148996</v>
      </c>
      <c r="H1101" s="10" t="n">
        <f aca="false">F1101-G1101</f>
        <v>0</v>
      </c>
      <c r="I1101" s="10" t="str">
        <f aca="false">IF(ABS(H1101)&lt;=0.000001,"PASS","FAIL")</f>
        <v>PASS</v>
      </c>
      <c r="J1101" s="10" t="s">
        <v>3836</v>
      </c>
    </row>
    <row r="1102" customFormat="false" ht="15" hidden="false" customHeight="false" outlineLevel="0" collapsed="false">
      <c r="A1102" s="10" t="s">
        <v>3837</v>
      </c>
      <c r="B1102" s="10" t="s">
        <v>1104</v>
      </c>
      <c r="C1102" s="10" t="s">
        <v>3838</v>
      </c>
      <c r="D1102" s="10" t="s">
        <v>1136</v>
      </c>
      <c r="E1102" s="10" t="s">
        <v>808</v>
      </c>
      <c r="F1102" s="22" t="n">
        <f aca="false">Margin_Structure!AC32</f>
        <v>106880</v>
      </c>
      <c r="G1102" s="12" t="n">
        <v>106880</v>
      </c>
      <c r="H1102" s="10" t="n">
        <f aca="false">F1102-G1102</f>
        <v>0</v>
      </c>
      <c r="I1102" s="10" t="str">
        <f aca="false">IF(ABS(H1102)&lt;=0.000001,"PASS","FAIL")</f>
        <v>PASS</v>
      </c>
      <c r="J1102" s="10" t="s">
        <v>3839</v>
      </c>
    </row>
    <row r="1103" customFormat="false" ht="15" hidden="false" customHeight="false" outlineLevel="0" collapsed="false">
      <c r="A1103" s="10" t="s">
        <v>3840</v>
      </c>
      <c r="B1103" s="10" t="s">
        <v>1104</v>
      </c>
      <c r="C1103" s="10" t="s">
        <v>3841</v>
      </c>
      <c r="D1103" s="10" t="s">
        <v>1136</v>
      </c>
      <c r="E1103" s="10" t="s">
        <v>809</v>
      </c>
      <c r="F1103" s="22" t="n">
        <f aca="false">Margin_Structure!AF32</f>
        <v>-1748</v>
      </c>
      <c r="G1103" s="12" t="n">
        <v>-1748</v>
      </c>
      <c r="H1103" s="10" t="n">
        <f aca="false">F1103-G1103</f>
        <v>0</v>
      </c>
      <c r="I1103" s="10" t="str">
        <f aca="false">IF(ABS(H1103)&lt;=0.000001,"PASS","FAIL")</f>
        <v>PASS</v>
      </c>
      <c r="J1103" s="10" t="s">
        <v>3842</v>
      </c>
    </row>
    <row r="1104" customFormat="false" ht="15" hidden="false" customHeight="false" outlineLevel="0" collapsed="false">
      <c r="A1104" s="10" t="s">
        <v>3843</v>
      </c>
      <c r="B1104" s="10" t="s">
        <v>1104</v>
      </c>
      <c r="C1104" s="10" t="s">
        <v>3844</v>
      </c>
      <c r="D1104" s="10" t="s">
        <v>1136</v>
      </c>
      <c r="E1104" s="10" t="s">
        <v>280</v>
      </c>
      <c r="F1104" s="22" t="n">
        <f aca="false">Margin_Structure!AI32</f>
        <v>175263</v>
      </c>
      <c r="G1104" s="12" t="n">
        <v>175263</v>
      </c>
      <c r="H1104" s="10" t="n">
        <f aca="false">F1104-G1104</f>
        <v>0</v>
      </c>
      <c r="I1104" s="10" t="str">
        <f aca="false">IF(ABS(H1104)&lt;=0.000001,"PASS","FAIL")</f>
        <v>PASS</v>
      </c>
      <c r="J1104" s="10" t="s">
        <v>3845</v>
      </c>
    </row>
    <row r="1105" customFormat="false" ht="15" hidden="false" customHeight="false" outlineLevel="0" collapsed="false">
      <c r="A1105" s="10" t="s">
        <v>3846</v>
      </c>
      <c r="B1105" s="10" t="s">
        <v>1105</v>
      </c>
      <c r="C1105" s="10" t="s">
        <v>3847</v>
      </c>
      <c r="D1105" s="10" t="s">
        <v>3848</v>
      </c>
      <c r="E1105" s="10" t="s">
        <v>823</v>
      </c>
      <c r="F1105" s="16" t="n">
        <f aca="false">Margin_Structure!D53</f>
        <v>0.06</v>
      </c>
      <c r="G1105" s="12" t="n">
        <v>0.06</v>
      </c>
      <c r="H1105" s="26" t="n">
        <f aca="false">F1105-G1105</f>
        <v>0</v>
      </c>
      <c r="I1105" s="10" t="str">
        <f aca="false">IF(ABS(H1105)&lt;=0.000001,"PASS","FAIL")</f>
        <v>PASS</v>
      </c>
      <c r="J1105" s="10" t="s">
        <v>3849</v>
      </c>
    </row>
    <row r="1106" customFormat="false" ht="15" hidden="false" customHeight="false" outlineLevel="0" collapsed="false">
      <c r="A1106" s="10" t="s">
        <v>3850</v>
      </c>
      <c r="B1106" s="10" t="s">
        <v>1105</v>
      </c>
      <c r="C1106" s="10" t="s">
        <v>3851</v>
      </c>
      <c r="D1106" s="10" t="s">
        <v>3848</v>
      </c>
      <c r="E1106" s="10" t="s">
        <v>826</v>
      </c>
      <c r="F1106" s="16" t="n">
        <f aca="false">Margin_Structure!D54</f>
        <v>0.05</v>
      </c>
      <c r="G1106" s="12" t="n">
        <v>0.05</v>
      </c>
      <c r="H1106" s="26" t="n">
        <f aca="false">F1106-G1106</f>
        <v>0</v>
      </c>
      <c r="I1106" s="10" t="str">
        <f aca="false">IF(ABS(H1106)&lt;=0.000001,"PASS","FAIL")</f>
        <v>PASS</v>
      </c>
      <c r="J1106" s="10" t="s">
        <v>3852</v>
      </c>
    </row>
    <row r="1107" customFormat="false" ht="15" hidden="false" customHeight="false" outlineLevel="0" collapsed="false">
      <c r="A1107" s="10" t="s">
        <v>3853</v>
      </c>
      <c r="B1107" s="10" t="s">
        <v>1105</v>
      </c>
      <c r="C1107" s="10" t="s">
        <v>3854</v>
      </c>
      <c r="D1107" s="10" t="s">
        <v>3848</v>
      </c>
      <c r="E1107" s="10" t="s">
        <v>827</v>
      </c>
      <c r="F1107" s="16" t="n">
        <f aca="false">Margin_Structure!D55</f>
        <v>0.02</v>
      </c>
      <c r="G1107" s="12" t="n">
        <v>0.02</v>
      </c>
      <c r="H1107" s="26" t="n">
        <f aca="false">F1107-G1107</f>
        <v>0</v>
      </c>
      <c r="I1107" s="10" t="str">
        <f aca="false">IF(ABS(H1107)&lt;=0.000001,"PASS","FAIL")</f>
        <v>PASS</v>
      </c>
      <c r="J1107" s="10" t="s">
        <v>3855</v>
      </c>
    </row>
    <row r="1108" customFormat="false" ht="15" hidden="false" customHeight="false" outlineLevel="0" collapsed="false">
      <c r="A1108" s="10" t="s">
        <v>3856</v>
      </c>
      <c r="B1108" s="10" t="s">
        <v>1105</v>
      </c>
      <c r="C1108" s="10" t="s">
        <v>3857</v>
      </c>
      <c r="D1108" s="10" t="s">
        <v>3848</v>
      </c>
      <c r="E1108" s="10" t="s">
        <v>829</v>
      </c>
      <c r="F1108" s="16" t="n">
        <f aca="false">Margin_Structure!D62</f>
        <v>0.05</v>
      </c>
      <c r="G1108" s="12" t="n">
        <v>0.05</v>
      </c>
      <c r="H1108" s="26" t="n">
        <f aca="false">F1108-G1108</f>
        <v>0</v>
      </c>
      <c r="I1108" s="10" t="str">
        <f aca="false">IF(ABS(H1108)&lt;=0.000001,"PASS","FAIL")</f>
        <v>PASS</v>
      </c>
      <c r="J1108" s="10" t="s">
        <v>3858</v>
      </c>
    </row>
    <row r="1109" customFormat="false" ht="15" hidden="false" customHeight="false" outlineLevel="0" collapsed="false">
      <c r="A1109" s="10" t="s">
        <v>3859</v>
      </c>
      <c r="B1109" s="10" t="s">
        <v>1105</v>
      </c>
      <c r="C1109" s="10" t="s">
        <v>3860</v>
      </c>
      <c r="D1109" s="10" t="s">
        <v>3848</v>
      </c>
      <c r="E1109" s="10" t="s">
        <v>833</v>
      </c>
      <c r="F1109" s="16" t="n">
        <f aca="false">Margin_Structure!D63</f>
        <v>0.02</v>
      </c>
      <c r="G1109" s="12" t="n">
        <v>0.02</v>
      </c>
      <c r="H1109" s="26" t="n">
        <f aca="false">F1109-G1109</f>
        <v>0</v>
      </c>
      <c r="I1109" s="10" t="str">
        <f aca="false">IF(ABS(H1109)&lt;=0.000001,"PASS","FAIL")</f>
        <v>PASS</v>
      </c>
      <c r="J1109" s="10" t="s">
        <v>3861</v>
      </c>
    </row>
    <row r="1110" customFormat="false" ht="15" hidden="false" customHeight="false" outlineLevel="0" collapsed="false">
      <c r="A1110" s="10" t="s">
        <v>3862</v>
      </c>
      <c r="B1110" s="10" t="s">
        <v>1105</v>
      </c>
      <c r="C1110" s="10" t="s">
        <v>3863</v>
      </c>
      <c r="D1110" s="10" t="s">
        <v>3848</v>
      </c>
      <c r="E1110" s="10" t="s">
        <v>837</v>
      </c>
      <c r="F1110" s="16" t="n">
        <f aca="false">Margin_Structure!D64</f>
        <v>0.02</v>
      </c>
      <c r="G1110" s="12" t="n">
        <v>0.02</v>
      </c>
      <c r="H1110" s="26" t="n">
        <f aca="false">F1110-G1110</f>
        <v>0</v>
      </c>
      <c r="I1110" s="10" t="str">
        <f aca="false">IF(ABS(H1110)&lt;=0.000001,"PASS","FAIL")</f>
        <v>PASS</v>
      </c>
      <c r="J1110" s="10" t="s">
        <v>3864</v>
      </c>
    </row>
    <row r="1111" customFormat="false" ht="15" hidden="false" customHeight="false" outlineLevel="0" collapsed="false">
      <c r="A1111" s="10" t="s">
        <v>3865</v>
      </c>
      <c r="B1111" s="10" t="s">
        <v>1105</v>
      </c>
      <c r="C1111" s="10" t="s">
        <v>3866</v>
      </c>
      <c r="D1111" s="10" t="s">
        <v>3848</v>
      </c>
      <c r="E1111" s="10" t="s">
        <v>841</v>
      </c>
      <c r="F1111" s="28" t="n">
        <f aca="false">Margin_Structure!D65</f>
        <v>25.2</v>
      </c>
      <c r="G1111" s="12" t="n">
        <v>25.2</v>
      </c>
      <c r="H1111" s="10" t="n">
        <f aca="false">F1111-G1111</f>
        <v>0</v>
      </c>
      <c r="I1111" s="10" t="str">
        <f aca="false">IF(ABS(H1111)&lt;=0.000001,"PASS","FAIL")</f>
        <v>PASS</v>
      </c>
      <c r="J1111" s="10" t="s">
        <v>3867</v>
      </c>
    </row>
    <row r="1112" customFormat="false" ht="15" hidden="false" customHeight="false" outlineLevel="0" collapsed="false">
      <c r="A1112" s="10" t="s">
        <v>3868</v>
      </c>
      <c r="B1112" s="10" t="s">
        <v>1106</v>
      </c>
      <c r="C1112" s="10" t="s">
        <v>3869</v>
      </c>
      <c r="D1112" s="10" t="s">
        <v>1136</v>
      </c>
      <c r="E1112" s="10" t="s">
        <v>348</v>
      </c>
      <c r="F1112" s="22" t="n">
        <f aca="false">Cash_Conversion!E6</f>
        <v>58972</v>
      </c>
      <c r="G1112" s="12" t="n">
        <v>58972</v>
      </c>
      <c r="H1112" s="10" t="n">
        <f aca="false">F1112-G1112</f>
        <v>0</v>
      </c>
      <c r="I1112" s="10" t="str">
        <f aca="false">IF(ABS(H1112)&lt;=0.000001,"PASS","FAIL")</f>
        <v>PASS</v>
      </c>
      <c r="J1112" s="10" t="s">
        <v>2399</v>
      </c>
    </row>
    <row r="1113" customFormat="false" ht="15" hidden="false" customHeight="false" outlineLevel="0" collapsed="false">
      <c r="A1113" s="10" t="s">
        <v>3870</v>
      </c>
      <c r="B1113" s="10" t="s">
        <v>1106</v>
      </c>
      <c r="C1113" s="10" t="s">
        <v>3871</v>
      </c>
      <c r="D1113" s="10" t="s">
        <v>1136</v>
      </c>
      <c r="E1113" s="10" t="s">
        <v>573</v>
      </c>
      <c r="F1113" s="22" t="n">
        <f aca="false">Cash_Conversion!H6</f>
        <v>-23307</v>
      </c>
      <c r="G1113" s="12" t="n">
        <v>-23307</v>
      </c>
      <c r="H1113" s="10" t="n">
        <f aca="false">F1113-G1113</f>
        <v>0</v>
      </c>
      <c r="I1113" s="10" t="str">
        <f aca="false">IF(ABS(H1113)&lt;=0.000001,"PASS","FAIL")</f>
        <v>PASS</v>
      </c>
      <c r="J1113" s="10" t="s">
        <v>3872</v>
      </c>
    </row>
    <row r="1114" customFormat="false" ht="15" hidden="false" customHeight="false" outlineLevel="0" collapsed="false">
      <c r="A1114" s="10" t="s">
        <v>3873</v>
      </c>
      <c r="B1114" s="10" t="s">
        <v>1106</v>
      </c>
      <c r="C1114" s="10" t="s">
        <v>3874</v>
      </c>
      <c r="D1114" s="10" t="s">
        <v>1136</v>
      </c>
      <c r="E1114" s="10" t="s">
        <v>854</v>
      </c>
      <c r="F1114" s="22" t="n">
        <f aca="false">Cash_Conversion!K6</f>
        <v>-599</v>
      </c>
      <c r="G1114" s="12" t="n">
        <v>-599</v>
      </c>
      <c r="H1114" s="10" t="n">
        <f aca="false">F1114-G1114</f>
        <v>0</v>
      </c>
      <c r="I1114" s="10" t="str">
        <f aca="false">IF(ABS(H1114)&lt;=0.000001,"PASS","FAIL")</f>
        <v>PASS</v>
      </c>
      <c r="J1114" s="10" t="s">
        <v>3875</v>
      </c>
    </row>
    <row r="1115" customFormat="false" ht="15" hidden="false" customHeight="false" outlineLevel="0" collapsed="false">
      <c r="A1115" s="10" t="s">
        <v>3876</v>
      </c>
      <c r="B1115" s="10" t="s">
        <v>1106</v>
      </c>
      <c r="C1115" s="10" t="s">
        <v>3877</v>
      </c>
      <c r="D1115" s="10" t="s">
        <v>1136</v>
      </c>
      <c r="E1115" s="10" t="s">
        <v>855</v>
      </c>
      <c r="F1115" s="22" t="n">
        <f aca="false">Cash_Conversion!N6</f>
        <v>-1595</v>
      </c>
      <c r="G1115" s="12" t="n">
        <v>-1595</v>
      </c>
      <c r="H1115" s="10" t="n">
        <f aca="false">F1115-G1115</f>
        <v>0</v>
      </c>
      <c r="I1115" s="10" t="str">
        <f aca="false">IF(ABS(H1115)&lt;=0.000001,"PASS","FAIL")</f>
        <v>PASS</v>
      </c>
      <c r="J1115" s="10" t="s">
        <v>3878</v>
      </c>
    </row>
    <row r="1116" customFormat="false" ht="15" hidden="false" customHeight="false" outlineLevel="0" collapsed="false">
      <c r="A1116" s="10" t="s">
        <v>3879</v>
      </c>
      <c r="B1116" s="10" t="s">
        <v>1106</v>
      </c>
      <c r="C1116" s="10" t="s">
        <v>3880</v>
      </c>
      <c r="D1116" s="10" t="s">
        <v>1136</v>
      </c>
      <c r="E1116" s="10" t="s">
        <v>352</v>
      </c>
      <c r="F1116" s="22" t="n">
        <f aca="false">Cash_Conversion!E7</f>
        <v>70615</v>
      </c>
      <c r="G1116" s="12" t="n">
        <v>70615</v>
      </c>
      <c r="H1116" s="10" t="n">
        <f aca="false">F1116-G1116</f>
        <v>0</v>
      </c>
      <c r="I1116" s="10" t="str">
        <f aca="false">IF(ABS(H1116)&lt;=0.000001,"PASS","FAIL")</f>
        <v>PASS</v>
      </c>
      <c r="J1116" s="10" t="s">
        <v>2408</v>
      </c>
    </row>
    <row r="1117" customFormat="false" ht="15" hidden="false" customHeight="false" outlineLevel="0" collapsed="false">
      <c r="A1117" s="10" t="s">
        <v>3881</v>
      </c>
      <c r="B1117" s="10" t="s">
        <v>1106</v>
      </c>
      <c r="C1117" s="10" t="s">
        <v>3882</v>
      </c>
      <c r="D1117" s="10" t="s">
        <v>1136</v>
      </c>
      <c r="E1117" s="10" t="s">
        <v>583</v>
      </c>
      <c r="F1117" s="22" t="n">
        <f aca="false">Cash_Conversion!H7</f>
        <v>-9911</v>
      </c>
      <c r="G1117" s="12" t="n">
        <v>-9911</v>
      </c>
      <c r="H1117" s="10" t="n">
        <f aca="false">F1117-G1117</f>
        <v>0</v>
      </c>
      <c r="I1117" s="10" t="str">
        <f aca="false">IF(ABS(H1117)&lt;=0.000001,"PASS","FAIL")</f>
        <v>PASS</v>
      </c>
      <c r="J1117" s="10" t="s">
        <v>3883</v>
      </c>
    </row>
    <row r="1118" customFormat="false" ht="15" hidden="false" customHeight="false" outlineLevel="0" collapsed="false">
      <c r="A1118" s="10" t="s">
        <v>3884</v>
      </c>
      <c r="B1118" s="10" t="s">
        <v>1106</v>
      </c>
      <c r="C1118" s="10" t="s">
        <v>3885</v>
      </c>
      <c r="D1118" s="10" t="s">
        <v>1136</v>
      </c>
      <c r="E1118" s="10" t="s">
        <v>856</v>
      </c>
      <c r="F1118" s="22" t="n">
        <f aca="false">Cash_Conversion!K7</f>
        <v>-355</v>
      </c>
      <c r="G1118" s="12" t="n">
        <v>-355</v>
      </c>
      <c r="H1118" s="10" t="n">
        <f aca="false">F1118-G1118</f>
        <v>0</v>
      </c>
      <c r="I1118" s="10" t="str">
        <f aca="false">IF(ABS(H1118)&lt;=0.000001,"PASS","FAIL")</f>
        <v>PASS</v>
      </c>
      <c r="J1118" s="10" t="s">
        <v>3886</v>
      </c>
    </row>
    <row r="1119" customFormat="false" ht="15" hidden="false" customHeight="false" outlineLevel="0" collapsed="false">
      <c r="A1119" s="10" t="s">
        <v>3887</v>
      </c>
      <c r="B1119" s="10" t="s">
        <v>1106</v>
      </c>
      <c r="C1119" s="10" t="s">
        <v>3888</v>
      </c>
      <c r="D1119" s="10" t="s">
        <v>1136</v>
      </c>
      <c r="E1119" s="10" t="s">
        <v>857</v>
      </c>
      <c r="F1119" s="22" t="n">
        <f aca="false">Cash_Conversion!N7</f>
        <v>-1480</v>
      </c>
      <c r="G1119" s="12" t="n">
        <v>-1480</v>
      </c>
      <c r="H1119" s="10" t="n">
        <f aca="false">F1119-G1119</f>
        <v>0</v>
      </c>
      <c r="I1119" s="10" t="str">
        <f aca="false">IF(ABS(H1119)&lt;=0.000001,"PASS","FAIL")</f>
        <v>PASS</v>
      </c>
      <c r="J1119" s="10" t="s">
        <v>3889</v>
      </c>
    </row>
    <row r="1120" customFormat="false" ht="15" hidden="false" customHeight="false" outlineLevel="0" collapsed="false">
      <c r="A1120" s="10" t="s">
        <v>3890</v>
      </c>
      <c r="B1120" s="10" t="s">
        <v>1106</v>
      </c>
      <c r="C1120" s="10" t="s">
        <v>3891</v>
      </c>
      <c r="D1120" s="10" t="s">
        <v>1136</v>
      </c>
      <c r="E1120" s="10" t="s">
        <v>57</v>
      </c>
      <c r="F1120" s="22" t="n">
        <f aca="false">Cash_Conversion!E8</f>
        <v>83018</v>
      </c>
      <c r="G1120" s="12" t="n">
        <v>83018</v>
      </c>
      <c r="H1120" s="10" t="n">
        <f aca="false">F1120-G1120</f>
        <v>0</v>
      </c>
      <c r="I1120" s="10" t="str">
        <f aca="false">IF(ABS(H1120)&lt;=0.000001,"PASS","FAIL")</f>
        <v>PASS</v>
      </c>
      <c r="J1120" s="10" t="s">
        <v>2418</v>
      </c>
    </row>
    <row r="1121" customFormat="false" ht="15" hidden="false" customHeight="false" outlineLevel="0" collapsed="false">
      <c r="A1121" s="10" t="s">
        <v>3892</v>
      </c>
      <c r="B1121" s="10" t="s">
        <v>1106</v>
      </c>
      <c r="C1121" s="10" t="s">
        <v>3893</v>
      </c>
      <c r="D1121" s="10" t="s">
        <v>1136</v>
      </c>
      <c r="E1121" s="10" t="s">
        <v>152</v>
      </c>
      <c r="F1121" s="22" t="n">
        <f aca="false">Cash_Conversion!H8</f>
        <v>-9449</v>
      </c>
      <c r="G1121" s="12" t="n">
        <v>-9449</v>
      </c>
      <c r="H1121" s="10" t="n">
        <f aca="false">F1121-G1121</f>
        <v>0</v>
      </c>
      <c r="I1121" s="10" t="str">
        <f aca="false">IF(ABS(H1121)&lt;=0.000001,"PASS","FAIL")</f>
        <v>PASS</v>
      </c>
      <c r="J1121" s="10" t="s">
        <v>3894</v>
      </c>
    </row>
    <row r="1122" customFormat="false" ht="15" hidden="false" customHeight="false" outlineLevel="0" collapsed="false">
      <c r="A1122" s="10" t="s">
        <v>3895</v>
      </c>
      <c r="B1122" s="10" t="s">
        <v>1106</v>
      </c>
      <c r="C1122" s="10" t="s">
        <v>3896</v>
      </c>
      <c r="D1122" s="10" t="s">
        <v>1136</v>
      </c>
      <c r="E1122" s="10" t="s">
        <v>858</v>
      </c>
      <c r="F1122" s="22" t="n">
        <f aca="false">Cash_Conversion!K8</f>
        <v>3793</v>
      </c>
      <c r="G1122" s="12" t="n">
        <v>3793</v>
      </c>
      <c r="H1122" s="10" t="n">
        <f aca="false">F1122-G1122</f>
        <v>0</v>
      </c>
      <c r="I1122" s="10" t="str">
        <f aca="false">IF(ABS(H1122)&lt;=0.000001,"PASS","FAIL")</f>
        <v>PASS</v>
      </c>
      <c r="J1122" s="10" t="s">
        <v>3897</v>
      </c>
    </row>
    <row r="1123" customFormat="false" ht="15" hidden="false" customHeight="false" outlineLevel="0" collapsed="false">
      <c r="A1123" s="10" t="s">
        <v>3898</v>
      </c>
      <c r="B1123" s="10" t="s">
        <v>1106</v>
      </c>
      <c r="C1123" s="10" t="s">
        <v>3899</v>
      </c>
      <c r="D1123" s="10" t="s">
        <v>1136</v>
      </c>
      <c r="E1123" s="10" t="s">
        <v>859</v>
      </c>
      <c r="F1123" s="22" t="n">
        <f aca="false">Cash_Conversion!N8</f>
        <v>2865</v>
      </c>
      <c r="G1123" s="12" t="n">
        <v>2865</v>
      </c>
      <c r="H1123" s="10" t="n">
        <f aca="false">F1123-G1123</f>
        <v>0</v>
      </c>
      <c r="I1123" s="10" t="str">
        <f aca="false">IF(ABS(H1123)&lt;=0.000001,"PASS","FAIL")</f>
        <v>PASS</v>
      </c>
      <c r="J1123" s="10" t="s">
        <v>3900</v>
      </c>
    </row>
    <row r="1124" customFormat="false" ht="15" hidden="false" customHeight="false" outlineLevel="0" collapsed="false">
      <c r="A1124" s="10" t="s">
        <v>3901</v>
      </c>
      <c r="B1124" s="10" t="s">
        <v>1106</v>
      </c>
      <c r="C1124" s="10" t="s">
        <v>3902</v>
      </c>
      <c r="D1124" s="10" t="s">
        <v>1136</v>
      </c>
      <c r="E1124" s="10" t="s">
        <v>61</v>
      </c>
      <c r="F1124" s="22" t="n">
        <f aca="false">Cash_Conversion!E9</f>
        <v>95545</v>
      </c>
      <c r="G1124" s="12" t="n">
        <v>95545</v>
      </c>
      <c r="H1124" s="10" t="n">
        <f aca="false">F1124-G1124</f>
        <v>0</v>
      </c>
      <c r="I1124" s="10" t="str">
        <f aca="false">IF(ABS(H1124)&lt;=0.000001,"PASS","FAIL")</f>
        <v>PASS</v>
      </c>
      <c r="J1124" s="10" t="s">
        <v>2428</v>
      </c>
    </row>
    <row r="1125" customFormat="false" ht="15" hidden="false" customHeight="false" outlineLevel="0" collapsed="false">
      <c r="A1125" s="10" t="s">
        <v>3903</v>
      </c>
      <c r="B1125" s="10" t="s">
        <v>1106</v>
      </c>
      <c r="C1125" s="10" t="s">
        <v>3904</v>
      </c>
      <c r="D1125" s="10" t="s">
        <v>1136</v>
      </c>
      <c r="E1125" s="10" t="s">
        <v>155</v>
      </c>
      <c r="F1125" s="22" t="n">
        <f aca="false">Cash_Conversion!H9</f>
        <v>-9929</v>
      </c>
      <c r="G1125" s="12" t="n">
        <v>-9929</v>
      </c>
      <c r="H1125" s="10" t="n">
        <f aca="false">F1125-G1125</f>
        <v>0</v>
      </c>
      <c r="I1125" s="10" t="str">
        <f aca="false">IF(ABS(H1125)&lt;=0.000001,"PASS","FAIL")</f>
        <v>PASS</v>
      </c>
      <c r="J1125" s="10" t="s">
        <v>3905</v>
      </c>
    </row>
    <row r="1126" customFormat="false" ht="15" hidden="false" customHeight="false" outlineLevel="0" collapsed="false">
      <c r="A1126" s="10" t="s">
        <v>3906</v>
      </c>
      <c r="B1126" s="10" t="s">
        <v>1106</v>
      </c>
      <c r="C1126" s="10" t="s">
        <v>3907</v>
      </c>
      <c r="D1126" s="10" t="s">
        <v>1136</v>
      </c>
      <c r="E1126" s="10" t="s">
        <v>860</v>
      </c>
      <c r="F1126" s="22" t="n">
        <f aca="false">Cash_Conversion!K9</f>
        <v>13516</v>
      </c>
      <c r="G1126" s="12" t="n">
        <v>13516</v>
      </c>
      <c r="H1126" s="10" t="n">
        <f aca="false">F1126-G1126</f>
        <v>0</v>
      </c>
      <c r="I1126" s="10" t="str">
        <f aca="false">IF(ABS(H1126)&lt;=0.000001,"PASS","FAIL")</f>
        <v>PASS</v>
      </c>
      <c r="J1126" s="10" t="s">
        <v>3908</v>
      </c>
    </row>
    <row r="1127" customFormat="false" ht="15" hidden="false" customHeight="false" outlineLevel="0" collapsed="false">
      <c r="A1127" s="10" t="s">
        <v>3909</v>
      </c>
      <c r="B1127" s="10" t="s">
        <v>1106</v>
      </c>
      <c r="C1127" s="10" t="s">
        <v>3910</v>
      </c>
      <c r="D1127" s="10" t="s">
        <v>1136</v>
      </c>
      <c r="E1127" s="10" t="s">
        <v>861</v>
      </c>
      <c r="F1127" s="22" t="n">
        <f aca="false">Cash_Conversion!N9</f>
        <v>10110</v>
      </c>
      <c r="G1127" s="12" t="n">
        <v>10110</v>
      </c>
      <c r="H1127" s="10" t="n">
        <f aca="false">F1127-G1127</f>
        <v>0</v>
      </c>
      <c r="I1127" s="10" t="str">
        <f aca="false">IF(ABS(H1127)&lt;=0.000001,"PASS","FAIL")</f>
        <v>PASS</v>
      </c>
      <c r="J1127" s="10" t="s">
        <v>3911</v>
      </c>
    </row>
    <row r="1128" customFormat="false" ht="15" hidden="false" customHeight="false" outlineLevel="0" collapsed="false">
      <c r="A1128" s="10" t="s">
        <v>3912</v>
      </c>
      <c r="B1128" s="10" t="s">
        <v>1106</v>
      </c>
      <c r="C1128" s="10" t="s">
        <v>3913</v>
      </c>
      <c r="D1128" s="10" t="s">
        <v>1136</v>
      </c>
      <c r="E1128" s="10" t="s">
        <v>65</v>
      </c>
      <c r="F1128" s="22" t="n">
        <f aca="false">Cash_Conversion!E10</f>
        <v>108497</v>
      </c>
      <c r="G1128" s="12" t="n">
        <v>108497</v>
      </c>
      <c r="H1128" s="10" t="n">
        <f aca="false">F1128-G1128</f>
        <v>0</v>
      </c>
      <c r="I1128" s="10" t="str">
        <f aca="false">IF(ABS(H1128)&lt;=0.000001,"PASS","FAIL")</f>
        <v>PASS</v>
      </c>
      <c r="J1128" s="10" t="s">
        <v>2445</v>
      </c>
    </row>
    <row r="1129" customFormat="false" ht="15" hidden="false" customHeight="false" outlineLevel="0" collapsed="false">
      <c r="A1129" s="10" t="s">
        <v>3914</v>
      </c>
      <c r="B1129" s="10" t="s">
        <v>1106</v>
      </c>
      <c r="C1129" s="10" t="s">
        <v>3915</v>
      </c>
      <c r="D1129" s="10" t="s">
        <v>1136</v>
      </c>
      <c r="E1129" s="10" t="s">
        <v>157</v>
      </c>
      <c r="F1129" s="22" t="n">
        <f aca="false">Cash_Conversion!H10</f>
        <v>-43830</v>
      </c>
      <c r="G1129" s="12" t="n">
        <v>-43830</v>
      </c>
      <c r="H1129" s="10" t="n">
        <f aca="false">F1129-G1129</f>
        <v>0</v>
      </c>
      <c r="I1129" s="10" t="str">
        <f aca="false">IF(ABS(H1129)&lt;=0.000001,"PASS","FAIL")</f>
        <v>PASS</v>
      </c>
      <c r="J1129" s="10" t="s">
        <v>3916</v>
      </c>
    </row>
    <row r="1130" customFormat="false" ht="15" hidden="false" customHeight="false" outlineLevel="0" collapsed="false">
      <c r="A1130" s="10" t="s">
        <v>3917</v>
      </c>
      <c r="B1130" s="10" t="s">
        <v>1106</v>
      </c>
      <c r="C1130" s="10" t="s">
        <v>3918</v>
      </c>
      <c r="D1130" s="10" t="s">
        <v>1136</v>
      </c>
      <c r="E1130" s="10" t="s">
        <v>862</v>
      </c>
      <c r="F1130" s="22" t="n">
        <f aca="false">Cash_Conversion!K10</f>
        <v>-12912</v>
      </c>
      <c r="G1130" s="12" t="n">
        <v>-12912</v>
      </c>
      <c r="H1130" s="10" t="n">
        <f aca="false">F1130-G1130</f>
        <v>0</v>
      </c>
      <c r="I1130" s="10" t="str">
        <f aca="false">IF(ABS(H1130)&lt;=0.000001,"PASS","FAIL")</f>
        <v>PASS</v>
      </c>
      <c r="J1130" s="10" t="s">
        <v>3919</v>
      </c>
    </row>
    <row r="1131" customFormat="false" ht="15" hidden="false" customHeight="false" outlineLevel="0" collapsed="false">
      <c r="A1131" s="10" t="s">
        <v>3920</v>
      </c>
      <c r="B1131" s="10" t="s">
        <v>1106</v>
      </c>
      <c r="C1131" s="10" t="s">
        <v>3921</v>
      </c>
      <c r="D1131" s="10" t="s">
        <v>1136</v>
      </c>
      <c r="E1131" s="10" t="s">
        <v>863</v>
      </c>
      <c r="F1131" s="22" t="n">
        <f aca="false">Cash_Conversion!N10</f>
        <v>-16192</v>
      </c>
      <c r="G1131" s="12" t="n">
        <v>-16192</v>
      </c>
      <c r="H1131" s="10" t="n">
        <f aca="false">F1131-G1131</f>
        <v>0</v>
      </c>
      <c r="I1131" s="10" t="str">
        <f aca="false">IF(ABS(H1131)&lt;=0.000001,"PASS","FAIL")</f>
        <v>PASS</v>
      </c>
      <c r="J1131" s="10" t="s">
        <v>3922</v>
      </c>
    </row>
    <row r="1132" customFormat="false" ht="15" hidden="false" customHeight="false" outlineLevel="0" collapsed="false">
      <c r="A1132" s="10" t="s">
        <v>3923</v>
      </c>
      <c r="B1132" s="10" t="s">
        <v>1106</v>
      </c>
      <c r="C1132" s="10" t="s">
        <v>3924</v>
      </c>
      <c r="D1132" s="10" t="s">
        <v>1136</v>
      </c>
      <c r="E1132" s="10" t="s">
        <v>71</v>
      </c>
      <c r="F1132" s="22" t="n">
        <f aca="false">Cash_Conversion!E11</f>
        <v>123718</v>
      </c>
      <c r="G1132" s="12" t="n">
        <v>123718</v>
      </c>
      <c r="H1132" s="10" t="n">
        <f aca="false">F1132-G1132</f>
        <v>0</v>
      </c>
      <c r="I1132" s="10" t="str">
        <f aca="false">IF(ABS(H1132)&lt;=0.000001,"PASS","FAIL")</f>
        <v>PASS</v>
      </c>
      <c r="J1132" s="10" t="s">
        <v>2466</v>
      </c>
    </row>
    <row r="1133" customFormat="false" ht="15" hidden="false" customHeight="false" outlineLevel="0" collapsed="false">
      <c r="A1133" s="10" t="s">
        <v>3925</v>
      </c>
      <c r="B1133" s="10" t="s">
        <v>1106</v>
      </c>
      <c r="C1133" s="10" t="s">
        <v>3926</v>
      </c>
      <c r="D1133" s="10" t="s">
        <v>1136</v>
      </c>
      <c r="E1133" s="10" t="s">
        <v>159</v>
      </c>
      <c r="F1133" s="22" t="n">
        <f aca="false">Cash_Conversion!H11</f>
        <v>-15358</v>
      </c>
      <c r="G1133" s="12" t="n">
        <v>-15358</v>
      </c>
      <c r="H1133" s="10" t="n">
        <f aca="false">F1133-G1133</f>
        <v>0</v>
      </c>
      <c r="I1133" s="10" t="str">
        <f aca="false">IF(ABS(H1133)&lt;=0.000001,"PASS","FAIL")</f>
        <v>PASS</v>
      </c>
      <c r="J1133" s="10" t="s">
        <v>3927</v>
      </c>
    </row>
    <row r="1134" customFormat="false" ht="15" hidden="false" customHeight="false" outlineLevel="0" collapsed="false">
      <c r="A1134" s="10" t="s">
        <v>3928</v>
      </c>
      <c r="B1134" s="10" t="s">
        <v>1106</v>
      </c>
      <c r="C1134" s="10" t="s">
        <v>3929</v>
      </c>
      <c r="D1134" s="10" t="s">
        <v>1136</v>
      </c>
      <c r="E1134" s="10" t="s">
        <v>864</v>
      </c>
      <c r="F1134" s="22" t="n">
        <f aca="false">Cash_Conversion!K11</f>
        <v>-14061</v>
      </c>
      <c r="G1134" s="12" t="n">
        <v>-14061</v>
      </c>
      <c r="H1134" s="10" t="n">
        <f aca="false">F1134-G1134</f>
        <v>0</v>
      </c>
      <c r="I1134" s="10" t="str">
        <f aca="false">IF(ABS(H1134)&lt;=0.000001,"PASS","FAIL")</f>
        <v>PASS</v>
      </c>
      <c r="J1134" s="10" t="s">
        <v>3930</v>
      </c>
    </row>
    <row r="1135" customFormat="false" ht="15" hidden="false" customHeight="false" outlineLevel="0" collapsed="false">
      <c r="A1135" s="10" t="s">
        <v>3931</v>
      </c>
      <c r="B1135" s="10" t="s">
        <v>1106</v>
      </c>
      <c r="C1135" s="10" t="s">
        <v>3932</v>
      </c>
      <c r="D1135" s="10" t="s">
        <v>1136</v>
      </c>
      <c r="E1135" s="10" t="s">
        <v>865</v>
      </c>
      <c r="F1135" s="22" t="n">
        <f aca="false">Cash_Conversion!N11</f>
        <v>-19295</v>
      </c>
      <c r="G1135" s="12" t="n">
        <v>-19295</v>
      </c>
      <c r="H1135" s="10" t="n">
        <f aca="false">F1135-G1135</f>
        <v>0</v>
      </c>
      <c r="I1135" s="10" t="str">
        <f aca="false">IF(ABS(H1135)&lt;=0.000001,"PASS","FAIL")</f>
        <v>PASS</v>
      </c>
      <c r="J1135" s="10" t="s">
        <v>3933</v>
      </c>
    </row>
    <row r="1136" customFormat="false" ht="15" hidden="false" customHeight="false" outlineLevel="0" collapsed="false">
      <c r="A1136" s="10" t="s">
        <v>3934</v>
      </c>
      <c r="B1136" s="10" t="s">
        <v>1106</v>
      </c>
      <c r="C1136" s="10" t="s">
        <v>3935</v>
      </c>
      <c r="D1136" s="10" t="s">
        <v>1136</v>
      </c>
      <c r="E1136" s="10" t="s">
        <v>76</v>
      </c>
      <c r="F1136" s="22" t="n">
        <f aca="false">Cash_Conversion!E12</f>
        <v>136893</v>
      </c>
      <c r="G1136" s="12" t="n">
        <v>136893</v>
      </c>
      <c r="H1136" s="10" t="n">
        <f aca="false">F1136-G1136</f>
        <v>0</v>
      </c>
      <c r="I1136" s="10" t="str">
        <f aca="false">IF(ABS(H1136)&lt;=0.000001,"PASS","FAIL")</f>
        <v>PASS</v>
      </c>
      <c r="J1136" s="10" t="s">
        <v>2484</v>
      </c>
    </row>
    <row r="1137" customFormat="false" ht="15" hidden="false" customHeight="false" outlineLevel="0" collapsed="false">
      <c r="A1137" s="10" t="s">
        <v>3936</v>
      </c>
      <c r="B1137" s="10" t="s">
        <v>1106</v>
      </c>
      <c r="C1137" s="10" t="s">
        <v>3937</v>
      </c>
      <c r="D1137" s="10" t="s">
        <v>1136</v>
      </c>
      <c r="E1137" s="10" t="s">
        <v>161</v>
      </c>
      <c r="F1137" s="22" t="n">
        <f aca="false">Cash_Conversion!H12</f>
        <v>-2185</v>
      </c>
      <c r="G1137" s="12" t="n">
        <v>-2185</v>
      </c>
      <c r="H1137" s="10" t="n">
        <f aca="false">F1137-G1137</f>
        <v>0</v>
      </c>
      <c r="I1137" s="10" t="str">
        <f aca="false">IF(ABS(H1137)&lt;=0.000001,"PASS","FAIL")</f>
        <v>PASS</v>
      </c>
      <c r="J1137" s="10" t="s">
        <v>3938</v>
      </c>
    </row>
    <row r="1138" customFormat="false" ht="15" hidden="false" customHeight="false" outlineLevel="0" collapsed="false">
      <c r="A1138" s="10" t="s">
        <v>3939</v>
      </c>
      <c r="B1138" s="10" t="s">
        <v>1106</v>
      </c>
      <c r="C1138" s="10" t="s">
        <v>3940</v>
      </c>
      <c r="D1138" s="10" t="s">
        <v>1136</v>
      </c>
      <c r="E1138" s="10" t="s">
        <v>866</v>
      </c>
      <c r="F1138" s="22" t="n">
        <f aca="false">Cash_Conversion!K12</f>
        <v>20030</v>
      </c>
      <c r="G1138" s="12" t="n">
        <v>20030</v>
      </c>
      <c r="H1138" s="10" t="n">
        <f aca="false">F1138-G1138</f>
        <v>0</v>
      </c>
      <c r="I1138" s="10" t="str">
        <f aca="false">IF(ABS(H1138)&lt;=0.000001,"PASS","FAIL")</f>
        <v>PASS</v>
      </c>
      <c r="J1138" s="10" t="s">
        <v>3941</v>
      </c>
    </row>
    <row r="1139" customFormat="false" ht="15" hidden="false" customHeight="false" outlineLevel="0" collapsed="false">
      <c r="A1139" s="10" t="s">
        <v>3942</v>
      </c>
      <c r="B1139" s="10" t="s">
        <v>1106</v>
      </c>
      <c r="C1139" s="10" t="s">
        <v>3943</v>
      </c>
      <c r="D1139" s="10" t="s">
        <v>1136</v>
      </c>
      <c r="E1139" s="10" t="s">
        <v>867</v>
      </c>
      <c r="F1139" s="22" t="n">
        <f aca="false">Cash_Conversion!N12</f>
        <v>13959</v>
      </c>
      <c r="G1139" s="12" t="n">
        <v>13959</v>
      </c>
      <c r="H1139" s="10" t="n">
        <f aca="false">F1139-G1139</f>
        <v>0</v>
      </c>
      <c r="I1139" s="10" t="str">
        <f aca="false">IF(ABS(H1139)&lt;=0.000001,"PASS","FAIL")</f>
        <v>PASS</v>
      </c>
      <c r="J1139" s="10" t="s">
        <v>3944</v>
      </c>
    </row>
    <row r="1140" customFormat="false" ht="15" hidden="false" customHeight="false" outlineLevel="0" collapsed="false">
      <c r="A1140" s="10" t="s">
        <v>3945</v>
      </c>
      <c r="B1140" s="10" t="s">
        <v>1106</v>
      </c>
      <c r="C1140" s="10" t="s">
        <v>3946</v>
      </c>
      <c r="D1140" s="10" t="s">
        <v>1136</v>
      </c>
      <c r="E1140" s="10" t="s">
        <v>80</v>
      </c>
      <c r="F1140" s="22" t="n">
        <f aca="false">Cash_Conversion!E13</f>
        <v>149921</v>
      </c>
      <c r="G1140" s="12" t="n">
        <v>149921</v>
      </c>
      <c r="H1140" s="10" t="n">
        <f aca="false">F1140-G1140</f>
        <v>0</v>
      </c>
      <c r="I1140" s="10" t="str">
        <f aca="false">IF(ABS(H1140)&lt;=0.000001,"PASS","FAIL")</f>
        <v>PASS</v>
      </c>
      <c r="J1140" s="10" t="s">
        <v>2502</v>
      </c>
    </row>
    <row r="1141" customFormat="false" ht="15" hidden="false" customHeight="false" outlineLevel="0" collapsed="false">
      <c r="A1141" s="10" t="s">
        <v>3947</v>
      </c>
      <c r="B1141" s="10" t="s">
        <v>1106</v>
      </c>
      <c r="C1141" s="10" t="s">
        <v>3948</v>
      </c>
      <c r="D1141" s="10" t="s">
        <v>1136</v>
      </c>
      <c r="E1141" s="10" t="s">
        <v>163</v>
      </c>
      <c r="F1141" s="22" t="n">
        <f aca="false">Cash_Conversion!H13</f>
        <v>14278</v>
      </c>
      <c r="G1141" s="12" t="n">
        <v>14278</v>
      </c>
      <c r="H1141" s="10" t="n">
        <f aca="false">F1141-G1141</f>
        <v>0</v>
      </c>
      <c r="I1141" s="10" t="str">
        <f aca="false">IF(ABS(H1141)&lt;=0.000001,"PASS","FAIL")</f>
        <v>PASS</v>
      </c>
      <c r="J1141" s="10" t="s">
        <v>3949</v>
      </c>
    </row>
    <row r="1142" customFormat="false" ht="15" hidden="false" customHeight="false" outlineLevel="0" collapsed="false">
      <c r="A1142" s="10" t="s">
        <v>3950</v>
      </c>
      <c r="B1142" s="10" t="s">
        <v>1106</v>
      </c>
      <c r="C1142" s="10" t="s">
        <v>3951</v>
      </c>
      <c r="D1142" s="10" t="s">
        <v>1136</v>
      </c>
      <c r="E1142" s="10" t="s">
        <v>868</v>
      </c>
      <c r="F1142" s="22" t="n">
        <f aca="false">Cash_Conversion!K13</f>
        <v>34081</v>
      </c>
      <c r="G1142" s="12" t="n">
        <v>34081</v>
      </c>
      <c r="H1142" s="10" t="n">
        <f aca="false">F1142-G1142</f>
        <v>0</v>
      </c>
      <c r="I1142" s="10" t="str">
        <f aca="false">IF(ABS(H1142)&lt;=0.000001,"PASS","FAIL")</f>
        <v>PASS</v>
      </c>
      <c r="J1142" s="10" t="s">
        <v>3952</v>
      </c>
    </row>
    <row r="1143" customFormat="false" ht="15" hidden="false" customHeight="false" outlineLevel="0" collapsed="false">
      <c r="A1143" s="10" t="s">
        <v>3953</v>
      </c>
      <c r="B1143" s="10" t="s">
        <v>1106</v>
      </c>
      <c r="C1143" s="10" t="s">
        <v>3954</v>
      </c>
      <c r="D1143" s="10" t="s">
        <v>1136</v>
      </c>
      <c r="E1143" s="10" t="s">
        <v>869</v>
      </c>
      <c r="F1143" s="22" t="n">
        <f aca="false">Cash_Conversion!N13</f>
        <v>29665</v>
      </c>
      <c r="G1143" s="12" t="n">
        <v>29665</v>
      </c>
      <c r="H1143" s="10" t="n">
        <f aca="false">F1143-G1143</f>
        <v>0</v>
      </c>
      <c r="I1143" s="10" t="str">
        <f aca="false">IF(ABS(H1143)&lt;=0.000001,"PASS","FAIL")</f>
        <v>PASS</v>
      </c>
      <c r="J1143" s="10" t="s">
        <v>3955</v>
      </c>
    </row>
    <row r="1144" customFormat="false" ht="15" hidden="false" customHeight="false" outlineLevel="0" collapsed="false">
      <c r="A1144" s="10" t="s">
        <v>3956</v>
      </c>
      <c r="B1144" s="10" t="s">
        <v>1106</v>
      </c>
      <c r="C1144" s="10" t="s">
        <v>3957</v>
      </c>
      <c r="D1144" s="10" t="s">
        <v>1136</v>
      </c>
      <c r="E1144" s="10" t="s">
        <v>85</v>
      </c>
      <c r="F1144" s="22" t="n">
        <f aca="false">Cash_Conversion!E14</f>
        <v>162256</v>
      </c>
      <c r="G1144" s="12" t="n">
        <v>162256</v>
      </c>
      <c r="H1144" s="10" t="n">
        <f aca="false">F1144-G1144</f>
        <v>0</v>
      </c>
      <c r="I1144" s="10" t="str">
        <f aca="false">IF(ABS(H1144)&lt;=0.000001,"PASS","FAIL")</f>
        <v>PASS</v>
      </c>
      <c r="J1144" s="10" t="s">
        <v>2523</v>
      </c>
    </row>
    <row r="1145" customFormat="false" ht="15" hidden="false" customHeight="false" outlineLevel="0" collapsed="false">
      <c r="A1145" s="10" t="s">
        <v>3958</v>
      </c>
      <c r="B1145" s="10" t="s">
        <v>1106</v>
      </c>
      <c r="C1145" s="10" t="s">
        <v>3959</v>
      </c>
      <c r="D1145" s="10" t="s">
        <v>1136</v>
      </c>
      <c r="E1145" s="10" t="s">
        <v>165</v>
      </c>
      <c r="F1145" s="22" t="n">
        <f aca="false">Cash_Conversion!H14</f>
        <v>-293</v>
      </c>
      <c r="G1145" s="12" t="n">
        <v>-293</v>
      </c>
      <c r="H1145" s="10" t="n">
        <f aca="false">F1145-G1145</f>
        <v>0</v>
      </c>
      <c r="I1145" s="10" t="str">
        <f aca="false">IF(ABS(H1145)&lt;=0.000001,"PASS","FAIL")</f>
        <v>PASS</v>
      </c>
      <c r="J1145" s="10" t="s">
        <v>3960</v>
      </c>
    </row>
    <row r="1146" customFormat="false" ht="15" hidden="false" customHeight="false" outlineLevel="0" collapsed="false">
      <c r="A1146" s="10" t="s">
        <v>3961</v>
      </c>
      <c r="B1146" s="10" t="s">
        <v>1106</v>
      </c>
      <c r="C1146" s="10" t="s">
        <v>3962</v>
      </c>
      <c r="D1146" s="10" t="s">
        <v>1136</v>
      </c>
      <c r="E1146" s="10" t="s">
        <v>870</v>
      </c>
      <c r="F1146" s="22" t="n">
        <f aca="false">Cash_Conversion!K14</f>
        <v>42728</v>
      </c>
      <c r="G1146" s="12" t="n">
        <v>42728</v>
      </c>
      <c r="H1146" s="10" t="n">
        <f aca="false">F1146-G1146</f>
        <v>0</v>
      </c>
      <c r="I1146" s="10" t="str">
        <f aca="false">IF(ABS(H1146)&lt;=0.000001,"PASS","FAIL")</f>
        <v>PASS</v>
      </c>
      <c r="J1146" s="10" t="s">
        <v>3963</v>
      </c>
    </row>
    <row r="1147" customFormat="false" ht="15" hidden="false" customHeight="false" outlineLevel="0" collapsed="false">
      <c r="A1147" s="10" t="s">
        <v>3964</v>
      </c>
      <c r="B1147" s="10" t="s">
        <v>1106</v>
      </c>
      <c r="C1147" s="10" t="s">
        <v>3965</v>
      </c>
      <c r="D1147" s="10" t="s">
        <v>1136</v>
      </c>
      <c r="E1147" s="10" t="s">
        <v>871</v>
      </c>
      <c r="F1147" s="22" t="n">
        <f aca="false">Cash_Conversion!N14</f>
        <v>38682</v>
      </c>
      <c r="G1147" s="12" t="n">
        <v>38682</v>
      </c>
      <c r="H1147" s="10" t="n">
        <f aca="false">F1147-G1147</f>
        <v>0</v>
      </c>
      <c r="I1147" s="10" t="str">
        <f aca="false">IF(ABS(H1147)&lt;=0.000001,"PASS","FAIL")</f>
        <v>PASS</v>
      </c>
      <c r="J1147" s="10" t="s">
        <v>3966</v>
      </c>
    </row>
    <row r="1148" customFormat="false" ht="15" hidden="false" customHeight="false" outlineLevel="0" collapsed="false">
      <c r="A1148" s="10" t="s">
        <v>3967</v>
      </c>
      <c r="B1148" s="10" t="s">
        <v>1106</v>
      </c>
      <c r="C1148" s="10" t="s">
        <v>3968</v>
      </c>
      <c r="D1148" s="10" t="s">
        <v>1136</v>
      </c>
      <c r="E1148" s="10" t="s">
        <v>90</v>
      </c>
      <c r="F1148" s="22" t="n">
        <f aca="false">Cash_Conversion!E15</f>
        <v>175679</v>
      </c>
      <c r="G1148" s="12" t="n">
        <v>175679</v>
      </c>
      <c r="H1148" s="10" t="n">
        <f aca="false">F1148-G1148</f>
        <v>0</v>
      </c>
      <c r="I1148" s="10" t="str">
        <f aca="false">IF(ABS(H1148)&lt;=0.000001,"PASS","FAIL")</f>
        <v>PASS</v>
      </c>
      <c r="J1148" s="10" t="s">
        <v>2547</v>
      </c>
    </row>
    <row r="1149" customFormat="false" ht="15" hidden="false" customHeight="false" outlineLevel="0" collapsed="false">
      <c r="A1149" s="10" t="s">
        <v>3969</v>
      </c>
      <c r="B1149" s="10" t="s">
        <v>1106</v>
      </c>
      <c r="C1149" s="10" t="s">
        <v>3970</v>
      </c>
      <c r="D1149" s="10" t="s">
        <v>1136</v>
      </c>
      <c r="E1149" s="10" t="s">
        <v>167</v>
      </c>
      <c r="F1149" s="22" t="n">
        <f aca="false">Cash_Conversion!H15</f>
        <v>16617</v>
      </c>
      <c r="G1149" s="12" t="n">
        <v>16617</v>
      </c>
      <c r="H1149" s="10" t="n">
        <f aca="false">F1149-G1149</f>
        <v>0</v>
      </c>
      <c r="I1149" s="10" t="str">
        <f aca="false">IF(ABS(H1149)&lt;=0.000001,"PASS","FAIL")</f>
        <v>PASS</v>
      </c>
      <c r="J1149" s="10" t="s">
        <v>3971</v>
      </c>
    </row>
    <row r="1150" customFormat="false" ht="15" hidden="false" customHeight="false" outlineLevel="0" collapsed="false">
      <c r="A1150" s="10" t="s">
        <v>3972</v>
      </c>
      <c r="B1150" s="10" t="s">
        <v>1106</v>
      </c>
      <c r="C1150" s="10" t="s">
        <v>3973</v>
      </c>
      <c r="D1150" s="10" t="s">
        <v>1136</v>
      </c>
      <c r="E1150" s="10" t="s">
        <v>872</v>
      </c>
      <c r="F1150" s="22" t="n">
        <f aca="false">Cash_Conversion!K15</f>
        <v>47589</v>
      </c>
      <c r="G1150" s="12" t="n">
        <v>47589</v>
      </c>
      <c r="H1150" s="10" t="n">
        <f aca="false">F1150-G1150</f>
        <v>0</v>
      </c>
      <c r="I1150" s="10" t="str">
        <f aca="false">IF(ABS(H1150)&lt;=0.000001,"PASS","FAIL")</f>
        <v>PASS</v>
      </c>
      <c r="J1150" s="10" t="s">
        <v>3974</v>
      </c>
    </row>
    <row r="1151" customFormat="false" ht="15" hidden="false" customHeight="false" outlineLevel="0" collapsed="false">
      <c r="A1151" s="10" t="s">
        <v>3975</v>
      </c>
      <c r="B1151" s="10" t="s">
        <v>1106</v>
      </c>
      <c r="C1151" s="10" t="s">
        <v>3976</v>
      </c>
      <c r="D1151" s="10" t="s">
        <v>1136</v>
      </c>
      <c r="E1151" s="10" t="s">
        <v>873</v>
      </c>
      <c r="F1151" s="22" t="n">
        <f aca="false">Cash_Conversion!N15</f>
        <v>45932</v>
      </c>
      <c r="G1151" s="12" t="n">
        <v>45932</v>
      </c>
      <c r="H1151" s="10" t="n">
        <f aca="false">F1151-G1151</f>
        <v>0</v>
      </c>
      <c r="I1151" s="10" t="str">
        <f aca="false">IF(ABS(H1151)&lt;=0.000001,"PASS","FAIL")</f>
        <v>PASS</v>
      </c>
      <c r="J1151" s="10" t="s">
        <v>3977</v>
      </c>
    </row>
    <row r="1152" customFormat="false" ht="15" hidden="false" customHeight="false" outlineLevel="0" collapsed="false">
      <c r="A1152" s="10" t="s">
        <v>3978</v>
      </c>
      <c r="B1152" s="10" t="s">
        <v>1106</v>
      </c>
      <c r="C1152" s="10" t="s">
        <v>3979</v>
      </c>
      <c r="D1152" s="10" t="s">
        <v>1136</v>
      </c>
      <c r="E1152" s="10" t="s">
        <v>95</v>
      </c>
      <c r="F1152" s="22" t="n">
        <f aca="false">Cash_Conversion!E16</f>
        <v>189190</v>
      </c>
      <c r="G1152" s="12" t="n">
        <v>189190</v>
      </c>
      <c r="H1152" s="10" t="n">
        <f aca="false">F1152-G1152</f>
        <v>0</v>
      </c>
      <c r="I1152" s="10" t="str">
        <f aca="false">IF(ABS(H1152)&lt;=0.000001,"PASS","FAIL")</f>
        <v>PASS</v>
      </c>
      <c r="J1152" s="10" t="s">
        <v>2571</v>
      </c>
    </row>
    <row r="1153" customFormat="false" ht="15" hidden="false" customHeight="false" outlineLevel="0" collapsed="false">
      <c r="A1153" s="10" t="s">
        <v>3980</v>
      </c>
      <c r="B1153" s="10" t="s">
        <v>1106</v>
      </c>
      <c r="C1153" s="10" t="s">
        <v>3981</v>
      </c>
      <c r="D1153" s="10" t="s">
        <v>1136</v>
      </c>
      <c r="E1153" s="10" t="s">
        <v>169</v>
      </c>
      <c r="F1153" s="22" t="n">
        <f aca="false">Cash_Conversion!H16</f>
        <v>24077</v>
      </c>
      <c r="G1153" s="12" t="n">
        <v>24077</v>
      </c>
      <c r="H1153" s="10" t="n">
        <f aca="false">F1153-G1153</f>
        <v>0</v>
      </c>
      <c r="I1153" s="10" t="str">
        <f aca="false">IF(ABS(H1153)&lt;=0.000001,"PASS","FAIL")</f>
        <v>PASS</v>
      </c>
      <c r="J1153" s="10" t="s">
        <v>3982</v>
      </c>
    </row>
    <row r="1154" customFormat="false" ht="15" hidden="false" customHeight="false" outlineLevel="0" collapsed="false">
      <c r="A1154" s="10" t="s">
        <v>3983</v>
      </c>
      <c r="B1154" s="10" t="s">
        <v>1106</v>
      </c>
      <c r="C1154" s="10" t="s">
        <v>3984</v>
      </c>
      <c r="D1154" s="10" t="s">
        <v>1136</v>
      </c>
      <c r="E1154" s="10" t="s">
        <v>874</v>
      </c>
      <c r="F1154" s="22" t="n">
        <f aca="false">Cash_Conversion!K16</f>
        <v>66579</v>
      </c>
      <c r="G1154" s="12" t="n">
        <v>66579</v>
      </c>
      <c r="H1154" s="10" t="n">
        <f aca="false">F1154-G1154</f>
        <v>0</v>
      </c>
      <c r="I1154" s="10" t="str">
        <f aca="false">IF(ABS(H1154)&lt;=0.000001,"PASS","FAIL")</f>
        <v>PASS</v>
      </c>
      <c r="J1154" s="10" t="s">
        <v>3985</v>
      </c>
    </row>
    <row r="1155" customFormat="false" ht="15" hidden="false" customHeight="false" outlineLevel="0" collapsed="false">
      <c r="A1155" s="10" t="s">
        <v>3986</v>
      </c>
      <c r="B1155" s="10" t="s">
        <v>1106</v>
      </c>
      <c r="C1155" s="10" t="s">
        <v>3987</v>
      </c>
      <c r="D1155" s="10" t="s">
        <v>1136</v>
      </c>
      <c r="E1155" s="10" t="s">
        <v>875</v>
      </c>
      <c r="F1155" s="22" t="n">
        <f aca="false">Cash_Conversion!N16</f>
        <v>64890</v>
      </c>
      <c r="G1155" s="12" t="n">
        <v>64890</v>
      </c>
      <c r="H1155" s="10" t="n">
        <f aca="false">F1155-G1155</f>
        <v>0</v>
      </c>
      <c r="I1155" s="10" t="str">
        <f aca="false">IF(ABS(H1155)&lt;=0.000001,"PASS","FAIL")</f>
        <v>PASS</v>
      </c>
      <c r="J1155" s="10" t="s">
        <v>3988</v>
      </c>
    </row>
    <row r="1156" customFormat="false" ht="15" hidden="false" customHeight="false" outlineLevel="0" collapsed="false">
      <c r="A1156" s="10" t="s">
        <v>3989</v>
      </c>
      <c r="B1156" s="10" t="s">
        <v>1106</v>
      </c>
      <c r="C1156" s="10" t="s">
        <v>3990</v>
      </c>
      <c r="D1156" s="10" t="s">
        <v>1136</v>
      </c>
      <c r="E1156" s="10" t="s">
        <v>100</v>
      </c>
      <c r="F1156" s="22" t="n">
        <f aca="false">Cash_Conversion!E17</f>
        <v>202570</v>
      </c>
      <c r="G1156" s="12" t="n">
        <v>202570</v>
      </c>
      <c r="H1156" s="10" t="n">
        <f aca="false">F1156-G1156</f>
        <v>0</v>
      </c>
      <c r="I1156" s="10" t="str">
        <f aca="false">IF(ABS(H1156)&lt;=0.000001,"PASS","FAIL")</f>
        <v>PASS</v>
      </c>
      <c r="J1156" s="10" t="s">
        <v>2595</v>
      </c>
    </row>
    <row r="1157" customFormat="false" ht="15" hidden="false" customHeight="false" outlineLevel="0" collapsed="false">
      <c r="A1157" s="10" t="s">
        <v>3991</v>
      </c>
      <c r="B1157" s="10" t="s">
        <v>1106</v>
      </c>
      <c r="C1157" s="10" t="s">
        <v>3992</v>
      </c>
      <c r="D1157" s="10" t="s">
        <v>1136</v>
      </c>
      <c r="E1157" s="10" t="s">
        <v>171</v>
      </c>
      <c r="F1157" s="22" t="n">
        <f aca="false">Cash_Conversion!H17</f>
        <v>21200</v>
      </c>
      <c r="G1157" s="12" t="n">
        <v>21200</v>
      </c>
      <c r="H1157" s="10" t="n">
        <f aca="false">F1157-G1157</f>
        <v>0</v>
      </c>
      <c r="I1157" s="10" t="str">
        <f aca="false">IF(ABS(H1157)&lt;=0.000001,"PASS","FAIL")</f>
        <v>PASS</v>
      </c>
      <c r="J1157" s="10" t="s">
        <v>3993</v>
      </c>
    </row>
    <row r="1158" customFormat="false" ht="15" hidden="false" customHeight="false" outlineLevel="0" collapsed="false">
      <c r="A1158" s="10" t="s">
        <v>3994</v>
      </c>
      <c r="B1158" s="10" t="s">
        <v>1106</v>
      </c>
      <c r="C1158" s="10" t="s">
        <v>3995</v>
      </c>
      <c r="D1158" s="10" t="s">
        <v>1136</v>
      </c>
      <c r="E1158" s="10" t="s">
        <v>876</v>
      </c>
      <c r="F1158" s="22" t="n">
        <f aca="false">Cash_Conversion!K17</f>
        <v>58508</v>
      </c>
      <c r="G1158" s="12" t="n">
        <v>58508</v>
      </c>
      <c r="H1158" s="10" t="n">
        <f aca="false">F1158-G1158</f>
        <v>0</v>
      </c>
      <c r="I1158" s="10" t="str">
        <f aca="false">IF(ABS(H1158)&lt;=0.000001,"PASS","FAIL")</f>
        <v>PASS</v>
      </c>
      <c r="J1158" s="10" t="s">
        <v>3996</v>
      </c>
    </row>
    <row r="1159" customFormat="false" ht="15" hidden="false" customHeight="false" outlineLevel="0" collapsed="false">
      <c r="A1159" s="10" t="s">
        <v>3997</v>
      </c>
      <c r="B1159" s="10" t="s">
        <v>1106</v>
      </c>
      <c r="C1159" s="10" t="s">
        <v>3998</v>
      </c>
      <c r="D1159" s="10" t="s">
        <v>1136</v>
      </c>
      <c r="E1159" s="10" t="s">
        <v>877</v>
      </c>
      <c r="F1159" s="22" t="n">
        <f aca="false">Cash_Conversion!N17</f>
        <v>55441</v>
      </c>
      <c r="G1159" s="12" t="n">
        <v>55441</v>
      </c>
      <c r="H1159" s="10" t="n">
        <f aca="false">F1159-G1159</f>
        <v>0</v>
      </c>
      <c r="I1159" s="10" t="str">
        <f aca="false">IF(ABS(H1159)&lt;=0.000001,"PASS","FAIL")</f>
        <v>PASS</v>
      </c>
      <c r="J1159" s="10" t="s">
        <v>3999</v>
      </c>
    </row>
    <row r="1160" customFormat="false" ht="15" hidden="false" customHeight="false" outlineLevel="0" collapsed="false">
      <c r="A1160" s="10" t="s">
        <v>4000</v>
      </c>
      <c r="B1160" s="10" t="s">
        <v>1106</v>
      </c>
      <c r="C1160" s="10" t="s">
        <v>4001</v>
      </c>
      <c r="D1160" s="10" t="s">
        <v>1136</v>
      </c>
      <c r="E1160" s="10" t="s">
        <v>105</v>
      </c>
      <c r="F1160" s="22" t="n">
        <f aca="false">Cash_Conversion!E18</f>
        <v>216913</v>
      </c>
      <c r="G1160" s="12" t="n">
        <v>216913</v>
      </c>
      <c r="H1160" s="10" t="n">
        <f aca="false">F1160-G1160</f>
        <v>0</v>
      </c>
      <c r="I1160" s="10" t="str">
        <f aca="false">IF(ABS(H1160)&lt;=0.000001,"PASS","FAIL")</f>
        <v>PASS</v>
      </c>
      <c r="J1160" s="10" t="s">
        <v>2619</v>
      </c>
    </row>
    <row r="1161" customFormat="false" ht="15" hidden="false" customHeight="false" outlineLevel="0" collapsed="false">
      <c r="A1161" s="10" t="s">
        <v>4002</v>
      </c>
      <c r="B1161" s="10" t="s">
        <v>1106</v>
      </c>
      <c r="C1161" s="10" t="s">
        <v>4003</v>
      </c>
      <c r="D1161" s="10" t="s">
        <v>1136</v>
      </c>
      <c r="E1161" s="10" t="s">
        <v>173</v>
      </c>
      <c r="F1161" s="22" t="n">
        <f aca="false">Cash_Conversion!H18</f>
        <v>21521</v>
      </c>
      <c r="G1161" s="12" t="n">
        <v>21521</v>
      </c>
      <c r="H1161" s="10" t="n">
        <f aca="false">F1161-G1161</f>
        <v>0</v>
      </c>
      <c r="I1161" s="10" t="str">
        <f aca="false">IF(ABS(H1161)&lt;=0.000001,"PASS","FAIL")</f>
        <v>PASS</v>
      </c>
      <c r="J1161" s="10" t="s">
        <v>4004</v>
      </c>
    </row>
    <row r="1162" customFormat="false" ht="15" hidden="false" customHeight="false" outlineLevel="0" collapsed="false">
      <c r="A1162" s="10" t="s">
        <v>4005</v>
      </c>
      <c r="B1162" s="10" t="s">
        <v>1106</v>
      </c>
      <c r="C1162" s="10" t="s">
        <v>4006</v>
      </c>
      <c r="D1162" s="10" t="s">
        <v>1136</v>
      </c>
      <c r="E1162" s="10" t="s">
        <v>878</v>
      </c>
      <c r="F1162" s="22" t="n">
        <f aca="false">Cash_Conversion!K18</f>
        <v>91955</v>
      </c>
      <c r="G1162" s="12" t="n">
        <v>91955</v>
      </c>
      <c r="H1162" s="10" t="n">
        <f aca="false">F1162-G1162</f>
        <v>0</v>
      </c>
      <c r="I1162" s="10" t="str">
        <f aca="false">IF(ABS(H1162)&lt;=0.000001,"PASS","FAIL")</f>
        <v>PASS</v>
      </c>
      <c r="J1162" s="10" t="s">
        <v>4007</v>
      </c>
    </row>
    <row r="1163" customFormat="false" ht="15" hidden="false" customHeight="false" outlineLevel="0" collapsed="false">
      <c r="A1163" s="10" t="s">
        <v>4008</v>
      </c>
      <c r="B1163" s="10" t="s">
        <v>1106</v>
      </c>
      <c r="C1163" s="10" t="s">
        <v>4009</v>
      </c>
      <c r="D1163" s="10" t="s">
        <v>1136</v>
      </c>
      <c r="E1163" s="10" t="s">
        <v>197</v>
      </c>
      <c r="F1163" s="22" t="n">
        <f aca="false">Cash_Conversion!N18</f>
        <v>89894</v>
      </c>
      <c r="G1163" s="12" t="n">
        <v>89894</v>
      </c>
      <c r="H1163" s="10" t="n">
        <f aca="false">F1163-G1163</f>
        <v>0</v>
      </c>
      <c r="I1163" s="10" t="str">
        <f aca="false">IF(ABS(H1163)&lt;=0.000001,"PASS","FAIL")</f>
        <v>PASS</v>
      </c>
      <c r="J1163" s="10" t="s">
        <v>4010</v>
      </c>
    </row>
    <row r="1164" customFormat="false" ht="15" hidden="false" customHeight="false" outlineLevel="0" collapsed="false">
      <c r="A1164" s="10" t="s">
        <v>4011</v>
      </c>
      <c r="B1164" s="10" t="s">
        <v>1106</v>
      </c>
      <c r="C1164" s="10" t="s">
        <v>4012</v>
      </c>
      <c r="D1164" s="10" t="s">
        <v>1136</v>
      </c>
      <c r="E1164" s="10" t="s">
        <v>110</v>
      </c>
      <c r="F1164" s="22" t="n">
        <f aca="false">Cash_Conversion!E19</f>
        <v>236106</v>
      </c>
      <c r="G1164" s="12" t="n">
        <v>236106</v>
      </c>
      <c r="H1164" s="10" t="n">
        <f aca="false">F1164-G1164</f>
        <v>0</v>
      </c>
      <c r="I1164" s="10" t="str">
        <f aca="false">IF(ABS(H1164)&lt;=0.000001,"PASS","FAIL")</f>
        <v>PASS</v>
      </c>
      <c r="J1164" s="10" t="s">
        <v>2643</v>
      </c>
    </row>
    <row r="1165" customFormat="false" ht="15" hidden="false" customHeight="false" outlineLevel="0" collapsed="false">
      <c r="A1165" s="10" t="s">
        <v>4013</v>
      </c>
      <c r="B1165" s="10" t="s">
        <v>1106</v>
      </c>
      <c r="C1165" s="10" t="s">
        <v>4014</v>
      </c>
      <c r="D1165" s="10" t="s">
        <v>1136</v>
      </c>
      <c r="E1165" s="10" t="s">
        <v>175</v>
      </c>
      <c r="F1165" s="22" t="n">
        <f aca="false">Cash_Conversion!H19</f>
        <v>38417</v>
      </c>
      <c r="G1165" s="12" t="n">
        <v>38417</v>
      </c>
      <c r="H1165" s="10" t="n">
        <f aca="false">F1165-G1165</f>
        <v>0</v>
      </c>
      <c r="I1165" s="10" t="str">
        <f aca="false">IF(ABS(H1165)&lt;=0.000001,"PASS","FAIL")</f>
        <v>PASS</v>
      </c>
      <c r="J1165" s="10" t="s">
        <v>4015</v>
      </c>
    </row>
    <row r="1166" customFormat="false" ht="15" hidden="false" customHeight="false" outlineLevel="0" collapsed="false">
      <c r="A1166" s="10" t="s">
        <v>4016</v>
      </c>
      <c r="B1166" s="10" t="s">
        <v>1106</v>
      </c>
      <c r="C1166" s="10" t="s">
        <v>4017</v>
      </c>
      <c r="D1166" s="10" t="s">
        <v>1136</v>
      </c>
      <c r="E1166" s="10" t="s">
        <v>879</v>
      </c>
      <c r="F1166" s="22" t="n">
        <f aca="false">Cash_Conversion!K19</f>
        <v>55794</v>
      </c>
      <c r="G1166" s="12" t="n">
        <v>55794</v>
      </c>
      <c r="H1166" s="10" t="n">
        <f aca="false">F1166-G1166</f>
        <v>0</v>
      </c>
      <c r="I1166" s="10" t="str">
        <f aca="false">IF(ABS(H1166)&lt;=0.000001,"PASS","FAIL")</f>
        <v>PASS</v>
      </c>
      <c r="J1166" s="10" t="s">
        <v>4018</v>
      </c>
    </row>
    <row r="1167" customFormat="false" ht="15" hidden="false" customHeight="false" outlineLevel="0" collapsed="false">
      <c r="A1167" s="10" t="s">
        <v>4019</v>
      </c>
      <c r="B1167" s="10" t="s">
        <v>1106</v>
      </c>
      <c r="C1167" s="10" t="s">
        <v>4020</v>
      </c>
      <c r="D1167" s="10" t="s">
        <v>1136</v>
      </c>
      <c r="E1167" s="10" t="s">
        <v>200</v>
      </c>
      <c r="F1167" s="22" t="n">
        <f aca="false">Cash_Conversion!N19</f>
        <v>50821</v>
      </c>
      <c r="G1167" s="12" t="n">
        <v>50821</v>
      </c>
      <c r="H1167" s="10" t="n">
        <f aca="false">F1167-G1167</f>
        <v>0</v>
      </c>
      <c r="I1167" s="10" t="str">
        <f aca="false">IF(ABS(H1167)&lt;=0.000001,"PASS","FAIL")</f>
        <v>PASS</v>
      </c>
      <c r="J1167" s="10" t="s">
        <v>4021</v>
      </c>
    </row>
    <row r="1168" customFormat="false" ht="15" hidden="false" customHeight="false" outlineLevel="0" collapsed="false">
      <c r="A1168" s="10" t="s">
        <v>4022</v>
      </c>
      <c r="B1168" s="10" t="s">
        <v>1106</v>
      </c>
      <c r="C1168" s="10" t="s">
        <v>4023</v>
      </c>
      <c r="D1168" s="10" t="s">
        <v>1136</v>
      </c>
      <c r="E1168" s="10" t="s">
        <v>115</v>
      </c>
      <c r="F1168" s="22" t="n">
        <f aca="false">Cash_Conversion!E20</f>
        <v>251000</v>
      </c>
      <c r="G1168" s="12" t="n">
        <v>251000</v>
      </c>
      <c r="H1168" s="10" t="n">
        <f aca="false">F1168-G1168</f>
        <v>0</v>
      </c>
      <c r="I1168" s="10" t="str">
        <f aca="false">IF(ABS(H1168)&lt;=0.000001,"PASS","FAIL")</f>
        <v>PASS</v>
      </c>
      <c r="J1168" s="10" t="s">
        <v>2667</v>
      </c>
    </row>
    <row r="1169" customFormat="false" ht="15" hidden="false" customHeight="false" outlineLevel="0" collapsed="false">
      <c r="A1169" s="10" t="s">
        <v>4024</v>
      </c>
      <c r="B1169" s="10" t="s">
        <v>1106</v>
      </c>
      <c r="C1169" s="10" t="s">
        <v>4025</v>
      </c>
      <c r="D1169" s="10" t="s">
        <v>1136</v>
      </c>
      <c r="E1169" s="10" t="s">
        <v>177</v>
      </c>
      <c r="F1169" s="22" t="n">
        <f aca="false">Cash_Conversion!H20</f>
        <v>32180</v>
      </c>
      <c r="G1169" s="12" t="n">
        <v>32180</v>
      </c>
      <c r="H1169" s="10" t="n">
        <f aca="false">F1169-G1169</f>
        <v>0</v>
      </c>
      <c r="I1169" s="10" t="str">
        <f aca="false">IF(ABS(H1169)&lt;=0.000001,"PASS","FAIL")</f>
        <v>PASS</v>
      </c>
      <c r="J1169" s="10" t="s">
        <v>4026</v>
      </c>
    </row>
    <row r="1170" customFormat="false" ht="15" hidden="false" customHeight="false" outlineLevel="0" collapsed="false">
      <c r="A1170" s="10" t="s">
        <v>4027</v>
      </c>
      <c r="B1170" s="10" t="s">
        <v>1106</v>
      </c>
      <c r="C1170" s="10" t="s">
        <v>4028</v>
      </c>
      <c r="D1170" s="10" t="s">
        <v>1136</v>
      </c>
      <c r="E1170" s="10" t="s">
        <v>880</v>
      </c>
      <c r="F1170" s="22" t="n">
        <f aca="false">Cash_Conversion!K20</f>
        <v>86605</v>
      </c>
      <c r="G1170" s="12" t="n">
        <v>86605</v>
      </c>
      <c r="H1170" s="10" t="n">
        <f aca="false">F1170-G1170</f>
        <v>0</v>
      </c>
      <c r="I1170" s="10" t="str">
        <f aca="false">IF(ABS(H1170)&lt;=0.000001,"PASS","FAIL")</f>
        <v>PASS</v>
      </c>
      <c r="J1170" s="10" t="s">
        <v>4029</v>
      </c>
    </row>
    <row r="1171" customFormat="false" ht="15" hidden="false" customHeight="false" outlineLevel="0" collapsed="false">
      <c r="A1171" s="10" t="s">
        <v>4030</v>
      </c>
      <c r="B1171" s="10" t="s">
        <v>1106</v>
      </c>
      <c r="C1171" s="10" t="s">
        <v>4031</v>
      </c>
      <c r="D1171" s="10" t="s">
        <v>1136</v>
      </c>
      <c r="E1171" s="10" t="s">
        <v>202</v>
      </c>
      <c r="F1171" s="22" t="n">
        <f aca="false">Cash_Conversion!N20</f>
        <v>82412</v>
      </c>
      <c r="G1171" s="12" t="n">
        <v>82412</v>
      </c>
      <c r="H1171" s="10" t="n">
        <f aca="false">F1171-G1171</f>
        <v>0</v>
      </c>
      <c r="I1171" s="10" t="str">
        <f aca="false">IF(ABS(H1171)&lt;=0.000001,"PASS","FAIL")</f>
        <v>PASS</v>
      </c>
      <c r="J1171" s="10" t="s">
        <v>4032</v>
      </c>
    </row>
    <row r="1172" customFormat="false" ht="15" hidden="false" customHeight="false" outlineLevel="0" collapsed="false">
      <c r="A1172" s="10" t="s">
        <v>4033</v>
      </c>
      <c r="B1172" s="10" t="s">
        <v>1106</v>
      </c>
      <c r="C1172" s="10" t="s">
        <v>4034</v>
      </c>
      <c r="D1172" s="10" t="s">
        <v>1136</v>
      </c>
      <c r="E1172" s="10" t="s">
        <v>119</v>
      </c>
      <c r="F1172" s="22" t="n">
        <f aca="false">Cash_Conversion!E21</f>
        <v>267976</v>
      </c>
      <c r="G1172" s="12" t="n">
        <v>267976</v>
      </c>
      <c r="H1172" s="10" t="n">
        <f aca="false">F1172-G1172</f>
        <v>0</v>
      </c>
      <c r="I1172" s="10" t="str">
        <f aca="false">IF(ABS(H1172)&lt;=0.000001,"PASS","FAIL")</f>
        <v>PASS</v>
      </c>
      <c r="J1172" s="10" t="s">
        <v>2706</v>
      </c>
    </row>
    <row r="1173" customFormat="false" ht="15" hidden="false" customHeight="false" outlineLevel="0" collapsed="false">
      <c r="A1173" s="10" t="s">
        <v>4035</v>
      </c>
      <c r="B1173" s="10" t="s">
        <v>1106</v>
      </c>
      <c r="C1173" s="10" t="s">
        <v>4036</v>
      </c>
      <c r="D1173" s="10" t="s">
        <v>1136</v>
      </c>
      <c r="E1173" s="10" t="s">
        <v>179</v>
      </c>
      <c r="F1173" s="22" t="n">
        <f aca="false">Cash_Conversion!H21</f>
        <v>40265</v>
      </c>
      <c r="G1173" s="12" t="n">
        <v>40265</v>
      </c>
      <c r="H1173" s="10" t="n">
        <f aca="false">F1173-G1173</f>
        <v>0</v>
      </c>
      <c r="I1173" s="10" t="str">
        <f aca="false">IF(ABS(H1173)&lt;=0.000001,"PASS","FAIL")</f>
        <v>PASS</v>
      </c>
      <c r="J1173" s="10" t="s">
        <v>4037</v>
      </c>
    </row>
    <row r="1174" customFormat="false" ht="15" hidden="false" customHeight="false" outlineLevel="0" collapsed="false">
      <c r="A1174" s="10" t="s">
        <v>4038</v>
      </c>
      <c r="B1174" s="10" t="s">
        <v>1106</v>
      </c>
      <c r="C1174" s="10" t="s">
        <v>4039</v>
      </c>
      <c r="D1174" s="10" t="s">
        <v>1136</v>
      </c>
      <c r="E1174" s="10" t="s">
        <v>881</v>
      </c>
      <c r="F1174" s="22" t="n">
        <f aca="false">Cash_Conversion!K21</f>
        <v>76711</v>
      </c>
      <c r="G1174" s="12" t="n">
        <v>76711</v>
      </c>
      <c r="H1174" s="10" t="n">
        <f aca="false">F1174-G1174</f>
        <v>0</v>
      </c>
      <c r="I1174" s="10" t="str">
        <f aca="false">IF(ABS(H1174)&lt;=0.000001,"PASS","FAIL")</f>
        <v>PASS</v>
      </c>
      <c r="J1174" s="10" t="s">
        <v>4040</v>
      </c>
    </row>
    <row r="1175" customFormat="false" ht="15" hidden="false" customHeight="false" outlineLevel="0" collapsed="false">
      <c r="A1175" s="10" t="s">
        <v>4041</v>
      </c>
      <c r="B1175" s="10" t="s">
        <v>1106</v>
      </c>
      <c r="C1175" s="10" t="s">
        <v>4042</v>
      </c>
      <c r="D1175" s="10" t="s">
        <v>1136</v>
      </c>
      <c r="E1175" s="10" t="s">
        <v>204</v>
      </c>
      <c r="F1175" s="22" t="n">
        <f aca="false">Cash_Conversion!N21</f>
        <v>72703</v>
      </c>
      <c r="G1175" s="12" t="n">
        <v>72703</v>
      </c>
      <c r="H1175" s="10" t="n">
        <f aca="false">F1175-G1175</f>
        <v>0</v>
      </c>
      <c r="I1175" s="10" t="str">
        <f aca="false">IF(ABS(H1175)&lt;=0.000001,"PASS","FAIL")</f>
        <v>PASS</v>
      </c>
      <c r="J1175" s="10" t="s">
        <v>4043</v>
      </c>
    </row>
    <row r="1176" customFormat="false" ht="15" hidden="false" customHeight="false" outlineLevel="0" collapsed="false">
      <c r="A1176" s="10" t="s">
        <v>4044</v>
      </c>
      <c r="B1176" s="10" t="s">
        <v>1106</v>
      </c>
      <c r="C1176" s="10" t="s">
        <v>4045</v>
      </c>
      <c r="D1176" s="10" t="s">
        <v>1136</v>
      </c>
      <c r="E1176" s="10" t="s">
        <v>123</v>
      </c>
      <c r="F1176" s="22" t="n">
        <f aca="false">Cash_Conversion!E22</f>
        <v>282250</v>
      </c>
      <c r="G1176" s="12" t="n">
        <v>282250</v>
      </c>
      <c r="H1176" s="10" t="n">
        <f aca="false">F1176-G1176</f>
        <v>0</v>
      </c>
      <c r="I1176" s="10" t="str">
        <f aca="false">IF(ABS(H1176)&lt;=0.000001,"PASS","FAIL")</f>
        <v>PASS</v>
      </c>
      <c r="J1176" s="10" t="s">
        <v>2745</v>
      </c>
    </row>
    <row r="1177" customFormat="false" ht="15" hidden="false" customHeight="false" outlineLevel="0" collapsed="false">
      <c r="A1177" s="10" t="s">
        <v>4046</v>
      </c>
      <c r="B1177" s="10" t="s">
        <v>1106</v>
      </c>
      <c r="C1177" s="10" t="s">
        <v>4047</v>
      </c>
      <c r="D1177" s="10" t="s">
        <v>1136</v>
      </c>
      <c r="E1177" s="10" t="s">
        <v>181</v>
      </c>
      <c r="F1177" s="22" t="n">
        <f aca="false">Cash_Conversion!H22</f>
        <v>40754</v>
      </c>
      <c r="G1177" s="12" t="n">
        <v>40754</v>
      </c>
      <c r="H1177" s="10" t="n">
        <f aca="false">F1177-G1177</f>
        <v>0</v>
      </c>
      <c r="I1177" s="10" t="str">
        <f aca="false">IF(ABS(H1177)&lt;=0.000001,"PASS","FAIL")</f>
        <v>PASS</v>
      </c>
      <c r="J1177" s="10" t="s">
        <v>4048</v>
      </c>
    </row>
    <row r="1178" customFormat="false" ht="15" hidden="false" customHeight="false" outlineLevel="0" collapsed="false">
      <c r="A1178" s="10" t="s">
        <v>4049</v>
      </c>
      <c r="B1178" s="10" t="s">
        <v>1106</v>
      </c>
      <c r="C1178" s="10" t="s">
        <v>4050</v>
      </c>
      <c r="D1178" s="10" t="s">
        <v>1136</v>
      </c>
      <c r="E1178" s="10" t="s">
        <v>882</v>
      </c>
      <c r="F1178" s="22" t="n">
        <f aca="false">Cash_Conversion!K22</f>
        <v>111970</v>
      </c>
      <c r="G1178" s="12" t="n">
        <v>111970</v>
      </c>
      <c r="H1178" s="10" t="n">
        <f aca="false">F1178-G1178</f>
        <v>0</v>
      </c>
      <c r="I1178" s="10" t="str">
        <f aca="false">IF(ABS(H1178)&lt;=0.000001,"PASS","FAIL")</f>
        <v>PASS</v>
      </c>
      <c r="J1178" s="10" t="s">
        <v>4051</v>
      </c>
    </row>
    <row r="1179" customFormat="false" ht="15" hidden="false" customHeight="false" outlineLevel="0" collapsed="false">
      <c r="A1179" s="10" t="s">
        <v>4052</v>
      </c>
      <c r="B1179" s="10" t="s">
        <v>1106</v>
      </c>
      <c r="C1179" s="10" t="s">
        <v>4053</v>
      </c>
      <c r="D1179" s="10" t="s">
        <v>1136</v>
      </c>
      <c r="E1179" s="10" t="s">
        <v>883</v>
      </c>
      <c r="F1179" s="22" t="n">
        <f aca="false">Cash_Conversion!N22</f>
        <v>109532</v>
      </c>
      <c r="G1179" s="12" t="n">
        <v>109532</v>
      </c>
      <c r="H1179" s="10" t="n">
        <f aca="false">F1179-G1179</f>
        <v>0</v>
      </c>
      <c r="I1179" s="10" t="str">
        <f aca="false">IF(ABS(H1179)&lt;=0.000001,"PASS","FAIL")</f>
        <v>PASS</v>
      </c>
      <c r="J1179" s="10" t="s">
        <v>4054</v>
      </c>
    </row>
    <row r="1180" customFormat="false" ht="15" hidden="false" customHeight="false" outlineLevel="0" collapsed="false">
      <c r="A1180" s="10" t="s">
        <v>4055</v>
      </c>
      <c r="B1180" s="10" t="s">
        <v>1106</v>
      </c>
      <c r="C1180" s="10" t="s">
        <v>4056</v>
      </c>
      <c r="D1180" s="10" t="s">
        <v>1136</v>
      </c>
      <c r="E1180" s="10" t="s">
        <v>127</v>
      </c>
      <c r="F1180" s="22" t="n">
        <f aca="false">Cash_Conversion!E23</f>
        <v>299014</v>
      </c>
      <c r="G1180" s="12" t="n">
        <v>299014</v>
      </c>
      <c r="H1180" s="10" t="n">
        <f aca="false">F1180-G1180</f>
        <v>0</v>
      </c>
      <c r="I1180" s="10" t="str">
        <f aca="false">IF(ABS(H1180)&lt;=0.000001,"PASS","FAIL")</f>
        <v>PASS</v>
      </c>
      <c r="J1180" s="10" t="s">
        <v>2784</v>
      </c>
    </row>
    <row r="1181" customFormat="false" ht="15" hidden="false" customHeight="false" outlineLevel="0" collapsed="false">
      <c r="A1181" s="10" t="s">
        <v>4057</v>
      </c>
      <c r="B1181" s="10" t="s">
        <v>1106</v>
      </c>
      <c r="C1181" s="10" t="s">
        <v>4058</v>
      </c>
      <c r="D1181" s="10" t="s">
        <v>1136</v>
      </c>
      <c r="E1181" s="10" t="s">
        <v>183</v>
      </c>
      <c r="F1181" s="22" t="n">
        <f aca="false">Cash_Conversion!H23</f>
        <v>45094</v>
      </c>
      <c r="G1181" s="12" t="n">
        <v>45094</v>
      </c>
      <c r="H1181" s="10" t="n">
        <f aca="false">F1181-G1181</f>
        <v>0</v>
      </c>
      <c r="I1181" s="10" t="str">
        <f aca="false">IF(ABS(H1181)&lt;=0.000001,"PASS","FAIL")</f>
        <v>PASS</v>
      </c>
      <c r="J1181" s="10" t="s">
        <v>4059</v>
      </c>
    </row>
    <row r="1182" customFormat="false" ht="15" hidden="false" customHeight="false" outlineLevel="0" collapsed="false">
      <c r="A1182" s="10" t="s">
        <v>4060</v>
      </c>
      <c r="B1182" s="10" t="s">
        <v>1106</v>
      </c>
      <c r="C1182" s="10" t="s">
        <v>4061</v>
      </c>
      <c r="D1182" s="10" t="s">
        <v>1136</v>
      </c>
      <c r="E1182" s="10" t="s">
        <v>884</v>
      </c>
      <c r="F1182" s="22" t="n">
        <f aca="false">Cash_Conversion!K23</f>
        <v>66837</v>
      </c>
      <c r="G1182" s="12" t="n">
        <v>66837</v>
      </c>
      <c r="H1182" s="10" t="n">
        <f aca="false">F1182-G1182</f>
        <v>0</v>
      </c>
      <c r="I1182" s="10" t="str">
        <f aca="false">IF(ABS(H1182)&lt;=0.000001,"PASS","FAIL")</f>
        <v>PASS</v>
      </c>
      <c r="J1182" s="10" t="s">
        <v>4062</v>
      </c>
    </row>
    <row r="1183" customFormat="false" ht="15" hidden="false" customHeight="false" outlineLevel="0" collapsed="false">
      <c r="A1183" s="10" t="s">
        <v>4063</v>
      </c>
      <c r="B1183" s="10" t="s">
        <v>1106</v>
      </c>
      <c r="C1183" s="10" t="s">
        <v>4064</v>
      </c>
      <c r="D1183" s="10" t="s">
        <v>1136</v>
      </c>
      <c r="E1183" s="10" t="s">
        <v>885</v>
      </c>
      <c r="F1183" s="22" t="n">
        <f aca="false">Cash_Conversion!N23</f>
        <v>64093</v>
      </c>
      <c r="G1183" s="12" t="n">
        <v>64093</v>
      </c>
      <c r="H1183" s="10" t="n">
        <f aca="false">F1183-G1183</f>
        <v>0</v>
      </c>
      <c r="I1183" s="10" t="str">
        <f aca="false">IF(ABS(H1183)&lt;=0.000001,"PASS","FAIL")</f>
        <v>PASS</v>
      </c>
      <c r="J1183" s="10" t="s">
        <v>4065</v>
      </c>
    </row>
    <row r="1184" customFormat="false" ht="15" hidden="false" customHeight="false" outlineLevel="0" collapsed="false">
      <c r="A1184" s="10" t="s">
        <v>4066</v>
      </c>
      <c r="B1184" s="10" t="s">
        <v>1106</v>
      </c>
      <c r="C1184" s="10" t="s">
        <v>4067</v>
      </c>
      <c r="D1184" s="10" t="s">
        <v>1136</v>
      </c>
      <c r="E1184" s="10" t="s">
        <v>131</v>
      </c>
      <c r="F1184" s="22" t="n">
        <f aca="false">Cash_Conversion!E24</f>
        <v>316855</v>
      </c>
      <c r="G1184" s="12" t="n">
        <v>316855</v>
      </c>
      <c r="H1184" s="10" t="n">
        <f aca="false">F1184-G1184</f>
        <v>0</v>
      </c>
      <c r="I1184" s="10" t="str">
        <f aca="false">IF(ABS(H1184)&lt;=0.000001,"PASS","FAIL")</f>
        <v>PASS</v>
      </c>
      <c r="J1184" s="10" t="s">
        <v>2823</v>
      </c>
    </row>
    <row r="1185" customFormat="false" ht="15" hidden="false" customHeight="false" outlineLevel="0" collapsed="false">
      <c r="A1185" s="10" t="s">
        <v>4068</v>
      </c>
      <c r="B1185" s="10" t="s">
        <v>1106</v>
      </c>
      <c r="C1185" s="10" t="s">
        <v>4069</v>
      </c>
      <c r="D1185" s="10" t="s">
        <v>1136</v>
      </c>
      <c r="E1185" s="10" t="s">
        <v>185</v>
      </c>
      <c r="F1185" s="22" t="n">
        <f aca="false">Cash_Conversion!H24</f>
        <v>47484</v>
      </c>
      <c r="G1185" s="12" t="n">
        <v>47484</v>
      </c>
      <c r="H1185" s="10" t="n">
        <f aca="false">F1185-G1185</f>
        <v>0</v>
      </c>
      <c r="I1185" s="10" t="str">
        <f aca="false">IF(ABS(H1185)&lt;=0.000001,"PASS","FAIL")</f>
        <v>PASS</v>
      </c>
      <c r="J1185" s="10" t="s">
        <v>4070</v>
      </c>
    </row>
    <row r="1186" customFormat="false" ht="15" hidden="false" customHeight="false" outlineLevel="0" collapsed="false">
      <c r="A1186" s="10" t="s">
        <v>4071</v>
      </c>
      <c r="B1186" s="10" t="s">
        <v>1106</v>
      </c>
      <c r="C1186" s="10" t="s">
        <v>4072</v>
      </c>
      <c r="D1186" s="10" t="s">
        <v>1136</v>
      </c>
      <c r="E1186" s="10" t="s">
        <v>886</v>
      </c>
      <c r="F1186" s="22" t="n">
        <f aca="false">Cash_Conversion!K24</f>
        <v>95144</v>
      </c>
      <c r="G1186" s="12" t="n">
        <v>95144</v>
      </c>
      <c r="H1186" s="10" t="n">
        <f aca="false">F1186-G1186</f>
        <v>0</v>
      </c>
      <c r="I1186" s="10" t="str">
        <f aca="false">IF(ABS(H1186)&lt;=0.000001,"PASS","FAIL")</f>
        <v>PASS</v>
      </c>
      <c r="J1186" s="10" t="s">
        <v>4073</v>
      </c>
    </row>
    <row r="1187" customFormat="false" ht="15" hidden="false" customHeight="false" outlineLevel="0" collapsed="false">
      <c r="A1187" s="10" t="s">
        <v>4074</v>
      </c>
      <c r="B1187" s="10" t="s">
        <v>1106</v>
      </c>
      <c r="C1187" s="10" t="s">
        <v>4075</v>
      </c>
      <c r="D1187" s="10" t="s">
        <v>1136</v>
      </c>
      <c r="E1187" s="10" t="s">
        <v>887</v>
      </c>
      <c r="F1187" s="22" t="n">
        <f aca="false">Cash_Conversion!N24</f>
        <v>92301</v>
      </c>
      <c r="G1187" s="12" t="n">
        <v>92301</v>
      </c>
      <c r="H1187" s="10" t="n">
        <f aca="false">F1187-G1187</f>
        <v>0</v>
      </c>
      <c r="I1187" s="10" t="str">
        <f aca="false">IF(ABS(H1187)&lt;=0.000001,"PASS","FAIL")</f>
        <v>PASS</v>
      </c>
      <c r="J1187" s="10" t="s">
        <v>4076</v>
      </c>
    </row>
    <row r="1188" customFormat="false" ht="15" hidden="false" customHeight="false" outlineLevel="0" collapsed="false">
      <c r="A1188" s="10" t="s">
        <v>4077</v>
      </c>
      <c r="B1188" s="10" t="s">
        <v>1106</v>
      </c>
      <c r="C1188" s="10" t="s">
        <v>4078</v>
      </c>
      <c r="D1188" s="10" t="s">
        <v>1136</v>
      </c>
      <c r="E1188" s="10" t="s">
        <v>135</v>
      </c>
      <c r="F1188" s="22" t="n">
        <f aca="false">Cash_Conversion!E25</f>
        <v>333878</v>
      </c>
      <c r="G1188" s="12" t="n">
        <v>333878</v>
      </c>
      <c r="H1188" s="10" t="n">
        <f aca="false">F1188-G1188</f>
        <v>0</v>
      </c>
      <c r="I1188" s="10" t="str">
        <f aca="false">IF(ABS(H1188)&lt;=0.000001,"PASS","FAIL")</f>
        <v>PASS</v>
      </c>
      <c r="J1188" s="10" t="s">
        <v>2862</v>
      </c>
    </row>
    <row r="1189" customFormat="false" ht="15" hidden="false" customHeight="false" outlineLevel="0" collapsed="false">
      <c r="A1189" s="10" t="s">
        <v>4079</v>
      </c>
      <c r="B1189" s="10" t="s">
        <v>1106</v>
      </c>
      <c r="C1189" s="10" t="s">
        <v>4080</v>
      </c>
      <c r="D1189" s="10" t="s">
        <v>1136</v>
      </c>
      <c r="E1189" s="10" t="s">
        <v>187</v>
      </c>
      <c r="F1189" s="22" t="n">
        <f aca="false">Cash_Conversion!H25</f>
        <v>41931</v>
      </c>
      <c r="G1189" s="12" t="n">
        <v>41931</v>
      </c>
      <c r="H1189" s="10" t="n">
        <f aca="false">F1189-G1189</f>
        <v>0</v>
      </c>
      <c r="I1189" s="10" t="str">
        <f aca="false">IF(ABS(H1189)&lt;=0.000001,"PASS","FAIL")</f>
        <v>PASS</v>
      </c>
      <c r="J1189" s="10" t="s">
        <v>4081</v>
      </c>
    </row>
    <row r="1190" customFormat="false" ht="15" hidden="false" customHeight="false" outlineLevel="0" collapsed="false">
      <c r="A1190" s="10" t="s">
        <v>4082</v>
      </c>
      <c r="B1190" s="10" t="s">
        <v>1106</v>
      </c>
      <c r="C1190" s="10" t="s">
        <v>4083</v>
      </c>
      <c r="D1190" s="10" t="s">
        <v>1136</v>
      </c>
      <c r="E1190" s="10" t="s">
        <v>888</v>
      </c>
      <c r="F1190" s="22" t="n">
        <f aca="false">Cash_Conversion!K25</f>
        <v>59693</v>
      </c>
      <c r="G1190" s="12" t="n">
        <v>59693</v>
      </c>
      <c r="H1190" s="10" t="n">
        <f aca="false">F1190-G1190</f>
        <v>0</v>
      </c>
      <c r="I1190" s="10" t="str">
        <f aca="false">IF(ABS(H1190)&lt;=0.000001,"PASS","FAIL")</f>
        <v>PASS</v>
      </c>
      <c r="J1190" s="10" t="s">
        <v>4084</v>
      </c>
    </row>
    <row r="1191" customFormat="false" ht="15" hidden="false" customHeight="false" outlineLevel="0" collapsed="false">
      <c r="A1191" s="10" t="s">
        <v>4085</v>
      </c>
      <c r="B1191" s="10" t="s">
        <v>1106</v>
      </c>
      <c r="C1191" s="10" t="s">
        <v>4086</v>
      </c>
      <c r="D1191" s="10" t="s">
        <v>1136</v>
      </c>
      <c r="E1191" s="10" t="s">
        <v>889</v>
      </c>
      <c r="F1191" s="22" t="n">
        <f aca="false">Cash_Conversion!N25</f>
        <v>56734</v>
      </c>
      <c r="G1191" s="12" t="n">
        <v>56734</v>
      </c>
      <c r="H1191" s="10" t="n">
        <f aca="false">F1191-G1191</f>
        <v>0</v>
      </c>
      <c r="I1191" s="10" t="str">
        <f aca="false">IF(ABS(H1191)&lt;=0.000001,"PASS","FAIL")</f>
        <v>PASS</v>
      </c>
      <c r="J1191" s="10" t="s">
        <v>4087</v>
      </c>
    </row>
    <row r="1192" customFormat="false" ht="15" hidden="false" customHeight="false" outlineLevel="0" collapsed="false">
      <c r="A1192" s="10" t="s">
        <v>4088</v>
      </c>
      <c r="B1192" s="10" t="s">
        <v>1106</v>
      </c>
      <c r="C1192" s="10" t="s">
        <v>4089</v>
      </c>
      <c r="D1192" s="10" t="s">
        <v>1136</v>
      </c>
      <c r="E1192" s="10" t="s">
        <v>140</v>
      </c>
      <c r="F1192" s="22" t="n">
        <f aca="false">Cash_Conversion!E26</f>
        <v>351265</v>
      </c>
      <c r="G1192" s="12" t="n">
        <v>351265</v>
      </c>
      <c r="H1192" s="10" t="n">
        <f aca="false">F1192-G1192</f>
        <v>0</v>
      </c>
      <c r="I1192" s="10" t="str">
        <f aca="false">IF(ABS(H1192)&lt;=0.000001,"PASS","FAIL")</f>
        <v>PASS</v>
      </c>
      <c r="J1192" s="10" t="s">
        <v>2901</v>
      </c>
    </row>
    <row r="1193" customFormat="false" ht="15" hidden="false" customHeight="false" outlineLevel="0" collapsed="false">
      <c r="A1193" s="10" t="s">
        <v>4090</v>
      </c>
      <c r="B1193" s="10" t="s">
        <v>1106</v>
      </c>
      <c r="C1193" s="10" t="s">
        <v>4091</v>
      </c>
      <c r="D1193" s="10" t="s">
        <v>1136</v>
      </c>
      <c r="E1193" s="10" t="s">
        <v>190</v>
      </c>
      <c r="F1193" s="22" t="n">
        <f aca="false">Cash_Conversion!H26</f>
        <v>49037</v>
      </c>
      <c r="G1193" s="12" t="n">
        <v>49037</v>
      </c>
      <c r="H1193" s="10" t="n">
        <f aca="false">F1193-G1193</f>
        <v>0</v>
      </c>
      <c r="I1193" s="10" t="str">
        <f aca="false">IF(ABS(H1193)&lt;=0.000001,"PASS","FAIL")</f>
        <v>PASS</v>
      </c>
      <c r="J1193" s="10" t="s">
        <v>4092</v>
      </c>
    </row>
    <row r="1194" customFormat="false" ht="15" hidden="false" customHeight="false" outlineLevel="0" collapsed="false">
      <c r="A1194" s="10" t="s">
        <v>4093</v>
      </c>
      <c r="B1194" s="10" t="s">
        <v>1106</v>
      </c>
      <c r="C1194" s="10" t="s">
        <v>4094</v>
      </c>
      <c r="D1194" s="10" t="s">
        <v>1136</v>
      </c>
      <c r="E1194" s="10" t="s">
        <v>890</v>
      </c>
      <c r="F1194" s="22" t="n">
        <f aca="false">Cash_Conversion!K26</f>
        <v>104687</v>
      </c>
      <c r="G1194" s="12" t="n">
        <v>104687</v>
      </c>
      <c r="H1194" s="10" t="n">
        <f aca="false">F1194-G1194</f>
        <v>0</v>
      </c>
      <c r="I1194" s="10" t="str">
        <f aca="false">IF(ABS(H1194)&lt;=0.000001,"PASS","FAIL")</f>
        <v>PASS</v>
      </c>
      <c r="J1194" s="10" t="s">
        <v>4095</v>
      </c>
    </row>
    <row r="1195" customFormat="false" ht="15" hidden="false" customHeight="false" outlineLevel="0" collapsed="false">
      <c r="A1195" s="10" t="s">
        <v>4096</v>
      </c>
      <c r="B1195" s="10" t="s">
        <v>1106</v>
      </c>
      <c r="C1195" s="10" t="s">
        <v>4097</v>
      </c>
      <c r="D1195" s="10" t="s">
        <v>1136</v>
      </c>
      <c r="E1195" s="10" t="s">
        <v>891</v>
      </c>
      <c r="F1195" s="22" t="n">
        <f aca="false">Cash_Conversion!N26</f>
        <v>102778</v>
      </c>
      <c r="G1195" s="12" t="n">
        <v>102778</v>
      </c>
      <c r="H1195" s="10" t="n">
        <f aca="false">F1195-G1195</f>
        <v>0</v>
      </c>
      <c r="I1195" s="10" t="str">
        <f aca="false">IF(ABS(H1195)&lt;=0.000001,"PASS","FAIL")</f>
        <v>PASS</v>
      </c>
      <c r="J1195" s="10" t="s">
        <v>4098</v>
      </c>
    </row>
    <row r="1196" customFormat="false" ht="15" hidden="false" customHeight="false" outlineLevel="0" collapsed="false">
      <c r="A1196" s="10" t="s">
        <v>4099</v>
      </c>
      <c r="B1196" s="10" t="s">
        <v>1106</v>
      </c>
      <c r="C1196" s="10" t="s">
        <v>4100</v>
      </c>
      <c r="D1196" s="10" t="s">
        <v>1136</v>
      </c>
      <c r="E1196" s="10" t="s">
        <v>145</v>
      </c>
      <c r="F1196" s="22" t="n">
        <f aca="false">Cash_Conversion!E27</f>
        <v>364621</v>
      </c>
      <c r="G1196" s="12" t="n">
        <v>364621</v>
      </c>
      <c r="H1196" s="10" t="n">
        <f aca="false">F1196-G1196</f>
        <v>0</v>
      </c>
      <c r="I1196" s="10" t="str">
        <f aca="false">IF(ABS(H1196)&lt;=0.000001,"PASS","FAIL")</f>
        <v>PASS</v>
      </c>
      <c r="J1196" s="10" t="s">
        <v>2940</v>
      </c>
    </row>
    <row r="1197" customFormat="false" ht="15" hidden="false" customHeight="false" outlineLevel="0" collapsed="false">
      <c r="A1197" s="10" t="s">
        <v>4101</v>
      </c>
      <c r="B1197" s="10" t="s">
        <v>1106</v>
      </c>
      <c r="C1197" s="10" t="s">
        <v>4102</v>
      </c>
      <c r="D1197" s="10" t="s">
        <v>1136</v>
      </c>
      <c r="E1197" s="10" t="s">
        <v>193</v>
      </c>
      <c r="F1197" s="22" t="n">
        <f aca="false">Cash_Conversion!H27</f>
        <v>61110</v>
      </c>
      <c r="G1197" s="12" t="n">
        <v>61110</v>
      </c>
      <c r="H1197" s="10" t="n">
        <f aca="false">F1197-G1197</f>
        <v>0</v>
      </c>
      <c r="I1197" s="10" t="str">
        <f aca="false">IF(ABS(H1197)&lt;=0.000001,"PASS","FAIL")</f>
        <v>PASS</v>
      </c>
      <c r="J1197" s="10" t="s">
        <v>4103</v>
      </c>
    </row>
    <row r="1198" customFormat="false" ht="15" hidden="false" customHeight="false" outlineLevel="0" collapsed="false">
      <c r="A1198" s="10" t="s">
        <v>4104</v>
      </c>
      <c r="B1198" s="10" t="s">
        <v>1106</v>
      </c>
      <c r="C1198" s="10" t="s">
        <v>4105</v>
      </c>
      <c r="D1198" s="10" t="s">
        <v>1136</v>
      </c>
      <c r="E1198" s="10" t="s">
        <v>892</v>
      </c>
      <c r="F1198" s="22" t="n">
        <f aca="false">Cash_Conversion!K27</f>
        <v>55354</v>
      </c>
      <c r="G1198" s="12" t="n">
        <v>55354</v>
      </c>
      <c r="H1198" s="10" t="n">
        <f aca="false">F1198-G1198</f>
        <v>0</v>
      </c>
      <c r="I1198" s="10" t="str">
        <f aca="false">IF(ABS(H1198)&lt;=0.000001,"PASS","FAIL")</f>
        <v>PASS</v>
      </c>
      <c r="J1198" s="10" t="s">
        <v>4106</v>
      </c>
    </row>
    <row r="1199" customFormat="false" ht="15" hidden="false" customHeight="false" outlineLevel="0" collapsed="false">
      <c r="A1199" s="10" t="s">
        <v>4107</v>
      </c>
      <c r="B1199" s="10" t="s">
        <v>1106</v>
      </c>
      <c r="C1199" s="10" t="s">
        <v>4108</v>
      </c>
      <c r="D1199" s="10" t="s">
        <v>1136</v>
      </c>
      <c r="E1199" s="10" t="s">
        <v>893</v>
      </c>
      <c r="F1199" s="22" t="n">
        <f aca="false">Cash_Conversion!N27</f>
        <v>52344</v>
      </c>
      <c r="G1199" s="12" t="n">
        <v>52344</v>
      </c>
      <c r="H1199" s="10" t="n">
        <f aca="false">F1199-G1199</f>
        <v>0</v>
      </c>
      <c r="I1199" s="10" t="str">
        <f aca="false">IF(ABS(H1199)&lt;=0.000001,"PASS","FAIL")</f>
        <v>PASS</v>
      </c>
      <c r="J1199" s="10" t="s">
        <v>4109</v>
      </c>
    </row>
    <row r="1200" customFormat="false" ht="15" hidden="false" customHeight="false" outlineLevel="0" collapsed="false">
      <c r="A1200" s="10" t="s">
        <v>4110</v>
      </c>
      <c r="B1200" s="10" t="s">
        <v>1106</v>
      </c>
      <c r="C1200" s="10" t="s">
        <v>4111</v>
      </c>
      <c r="D1200" s="10" t="s">
        <v>1136</v>
      </c>
      <c r="E1200" s="10" t="s">
        <v>235</v>
      </c>
      <c r="F1200" s="22" t="n">
        <f aca="false">Cash_Conversion!E28</f>
        <v>308150</v>
      </c>
      <c r="G1200" s="12" t="n">
        <v>308150</v>
      </c>
      <c r="H1200" s="10" t="n">
        <f aca="false">F1200-G1200</f>
        <v>0</v>
      </c>
      <c r="I1200" s="10" t="str">
        <f aca="false">IF(ABS(H1200)&lt;=0.000001,"PASS","FAIL")</f>
        <v>PASS</v>
      </c>
      <c r="J1200" s="10" t="s">
        <v>3683</v>
      </c>
    </row>
    <row r="1201" customFormat="false" ht="15" hidden="false" customHeight="false" outlineLevel="0" collapsed="false">
      <c r="A1201" s="10" t="s">
        <v>4112</v>
      </c>
      <c r="B1201" s="10" t="s">
        <v>1106</v>
      </c>
      <c r="C1201" s="10" t="s">
        <v>4113</v>
      </c>
      <c r="D1201" s="10" t="s">
        <v>1136</v>
      </c>
      <c r="E1201" s="10" t="s">
        <v>233</v>
      </c>
      <c r="F1201" s="22" t="n">
        <f aca="false">Cash_Conversion!H28</f>
        <v>-52596</v>
      </c>
      <c r="G1201" s="12" t="n">
        <v>-52596</v>
      </c>
      <c r="H1201" s="10" t="n">
        <f aca="false">F1201-G1201</f>
        <v>0</v>
      </c>
      <c r="I1201" s="10" t="str">
        <f aca="false">IF(ABS(H1201)&lt;=0.000001,"PASS","FAIL")</f>
        <v>PASS</v>
      </c>
      <c r="J1201" s="10" t="s">
        <v>4114</v>
      </c>
    </row>
    <row r="1202" customFormat="false" ht="15" hidden="false" customHeight="false" outlineLevel="0" collapsed="false">
      <c r="A1202" s="10" t="s">
        <v>4115</v>
      </c>
      <c r="B1202" s="10" t="s">
        <v>1106</v>
      </c>
      <c r="C1202" s="10" t="s">
        <v>4116</v>
      </c>
      <c r="D1202" s="10" t="s">
        <v>1136</v>
      </c>
      <c r="E1202" s="10" t="s">
        <v>894</v>
      </c>
      <c r="F1202" s="22" t="n">
        <f aca="false">Cash_Conversion!K28</f>
        <v>16355</v>
      </c>
      <c r="G1202" s="12" t="n">
        <v>16355</v>
      </c>
      <c r="H1202" s="10" t="n">
        <f aca="false">F1202-G1202</f>
        <v>0</v>
      </c>
      <c r="I1202" s="10" t="str">
        <f aca="false">IF(ABS(H1202)&lt;=0.000001,"PASS","FAIL")</f>
        <v>PASS</v>
      </c>
      <c r="J1202" s="10" t="s">
        <v>4117</v>
      </c>
    </row>
    <row r="1203" customFormat="false" ht="15" hidden="false" customHeight="false" outlineLevel="0" collapsed="false">
      <c r="A1203" s="10" t="s">
        <v>4118</v>
      </c>
      <c r="B1203" s="10" t="s">
        <v>1106</v>
      </c>
      <c r="C1203" s="10" t="s">
        <v>4119</v>
      </c>
      <c r="D1203" s="10" t="s">
        <v>1136</v>
      </c>
      <c r="E1203" s="10" t="s">
        <v>895</v>
      </c>
      <c r="F1203" s="22" t="n">
        <f aca="false">Cash_Conversion!N28</f>
        <v>9900</v>
      </c>
      <c r="G1203" s="12" t="n">
        <v>9900</v>
      </c>
      <c r="H1203" s="10" t="n">
        <f aca="false">F1203-G1203</f>
        <v>0</v>
      </c>
      <c r="I1203" s="10" t="str">
        <f aca="false">IF(ABS(H1203)&lt;=0.000001,"PASS","FAIL")</f>
        <v>PASS</v>
      </c>
      <c r="J1203" s="10" t="s">
        <v>4120</v>
      </c>
    </row>
    <row r="1204" customFormat="false" ht="15" hidden="false" customHeight="false" outlineLevel="0" collapsed="false">
      <c r="A1204" s="10" t="s">
        <v>4121</v>
      </c>
      <c r="B1204" s="10" t="s">
        <v>1106</v>
      </c>
      <c r="C1204" s="10" t="s">
        <v>4122</v>
      </c>
      <c r="D1204" s="10" t="s">
        <v>1136</v>
      </c>
      <c r="E1204" s="10" t="s">
        <v>242</v>
      </c>
      <c r="F1204" s="22" t="n">
        <f aca="false">Cash_Conversion!E29</f>
        <v>519029</v>
      </c>
      <c r="G1204" s="12" t="n">
        <v>519029</v>
      </c>
      <c r="H1204" s="10" t="n">
        <f aca="false">F1204-G1204</f>
        <v>0</v>
      </c>
      <c r="I1204" s="10" t="str">
        <f aca="false">IF(ABS(H1204)&lt;=0.000001,"PASS","FAIL")</f>
        <v>PASS</v>
      </c>
      <c r="J1204" s="10" t="s">
        <v>3716</v>
      </c>
    </row>
    <row r="1205" customFormat="false" ht="15" hidden="false" customHeight="false" outlineLevel="0" collapsed="false">
      <c r="A1205" s="10" t="s">
        <v>4123</v>
      </c>
      <c r="B1205" s="10" t="s">
        <v>1106</v>
      </c>
      <c r="C1205" s="10" t="s">
        <v>4124</v>
      </c>
      <c r="D1205" s="10" t="s">
        <v>1136</v>
      </c>
      <c r="E1205" s="10" t="s">
        <v>240</v>
      </c>
      <c r="F1205" s="22" t="n">
        <f aca="false">Cash_Conversion!H29</f>
        <v>-47095</v>
      </c>
      <c r="G1205" s="12" t="n">
        <v>-47095</v>
      </c>
      <c r="H1205" s="10" t="n">
        <f aca="false">F1205-G1205</f>
        <v>0</v>
      </c>
      <c r="I1205" s="10" t="str">
        <f aca="false">IF(ABS(H1205)&lt;=0.000001,"PASS","FAIL")</f>
        <v>PASS</v>
      </c>
      <c r="J1205" s="10" t="s">
        <v>4125</v>
      </c>
    </row>
    <row r="1206" customFormat="false" ht="15" hidden="false" customHeight="false" outlineLevel="0" collapsed="false">
      <c r="A1206" s="10" t="s">
        <v>4126</v>
      </c>
      <c r="B1206" s="10" t="s">
        <v>1106</v>
      </c>
      <c r="C1206" s="10" t="s">
        <v>4127</v>
      </c>
      <c r="D1206" s="10" t="s">
        <v>1136</v>
      </c>
      <c r="E1206" s="10" t="s">
        <v>896</v>
      </c>
      <c r="F1206" s="22" t="n">
        <f aca="false">Cash_Conversion!K29</f>
        <v>27138</v>
      </c>
      <c r="G1206" s="12" t="n">
        <v>27138</v>
      </c>
      <c r="H1206" s="10" t="n">
        <f aca="false">F1206-G1206</f>
        <v>0</v>
      </c>
      <c r="I1206" s="10" t="str">
        <f aca="false">IF(ABS(H1206)&lt;=0.000001,"PASS","FAIL")</f>
        <v>PASS</v>
      </c>
      <c r="J1206" s="10" t="s">
        <v>4128</v>
      </c>
    </row>
    <row r="1207" customFormat="false" ht="15" hidden="false" customHeight="false" outlineLevel="0" collapsed="false">
      <c r="A1207" s="10" t="s">
        <v>4129</v>
      </c>
      <c r="B1207" s="10" t="s">
        <v>1106</v>
      </c>
      <c r="C1207" s="10" t="s">
        <v>4130</v>
      </c>
      <c r="D1207" s="10" t="s">
        <v>1136</v>
      </c>
      <c r="E1207" s="10" t="s">
        <v>897</v>
      </c>
      <c r="F1207" s="22" t="n">
        <f aca="false">Cash_Conversion!N29</f>
        <v>8137</v>
      </c>
      <c r="G1207" s="12" t="n">
        <v>8137</v>
      </c>
      <c r="H1207" s="10" t="n">
        <f aca="false">F1207-G1207</f>
        <v>0</v>
      </c>
      <c r="I1207" s="10" t="str">
        <f aca="false">IF(ABS(H1207)&lt;=0.000001,"PASS","FAIL")</f>
        <v>PASS</v>
      </c>
      <c r="J1207" s="10" t="s">
        <v>4131</v>
      </c>
    </row>
    <row r="1208" customFormat="false" ht="15" hidden="false" customHeight="false" outlineLevel="0" collapsed="false">
      <c r="A1208" s="10" t="s">
        <v>4132</v>
      </c>
      <c r="B1208" s="10" t="s">
        <v>1106</v>
      </c>
      <c r="C1208" s="10" t="s">
        <v>4133</v>
      </c>
      <c r="D1208" s="10" t="s">
        <v>1136</v>
      </c>
      <c r="E1208" s="10" t="s">
        <v>253</v>
      </c>
      <c r="F1208" s="22" t="n">
        <f aca="false">Cash_Conversion!E30</f>
        <v>729695</v>
      </c>
      <c r="G1208" s="12" t="n">
        <v>729695</v>
      </c>
      <c r="H1208" s="10" t="n">
        <f aca="false">F1208-G1208</f>
        <v>0</v>
      </c>
      <c r="I1208" s="10" t="str">
        <f aca="false">IF(ABS(H1208)&lt;=0.000001,"PASS","FAIL")</f>
        <v>PASS</v>
      </c>
      <c r="J1208" s="10" t="s">
        <v>3749</v>
      </c>
    </row>
    <row r="1209" customFormat="false" ht="15" hidden="false" customHeight="false" outlineLevel="0" collapsed="false">
      <c r="A1209" s="10" t="s">
        <v>4134</v>
      </c>
      <c r="B1209" s="10" t="s">
        <v>1106</v>
      </c>
      <c r="C1209" s="10" t="s">
        <v>4135</v>
      </c>
      <c r="D1209" s="10" t="s">
        <v>1136</v>
      </c>
      <c r="E1209" s="10" t="s">
        <v>251</v>
      </c>
      <c r="F1209" s="22" t="n">
        <f aca="false">Cash_Conversion!H30</f>
        <v>61601</v>
      </c>
      <c r="G1209" s="12" t="n">
        <v>61601</v>
      </c>
      <c r="H1209" s="10" t="n">
        <f aca="false">F1209-G1209</f>
        <v>0</v>
      </c>
      <c r="I1209" s="10" t="str">
        <f aca="false">IF(ABS(H1209)&lt;=0.000001,"PASS","FAIL")</f>
        <v>PASS</v>
      </c>
      <c r="J1209" s="10" t="s">
        <v>4136</v>
      </c>
    </row>
    <row r="1210" customFormat="false" ht="15" hidden="false" customHeight="false" outlineLevel="0" collapsed="false">
      <c r="A1210" s="10" t="s">
        <v>4137</v>
      </c>
      <c r="B1210" s="10" t="s">
        <v>1106</v>
      </c>
      <c r="C1210" s="10" t="s">
        <v>4138</v>
      </c>
      <c r="D1210" s="10" t="s">
        <v>1136</v>
      </c>
      <c r="E1210" s="10" t="s">
        <v>898</v>
      </c>
      <c r="F1210" s="22" t="n">
        <f aca="false">Cash_Conversion!K30</f>
        <v>215404</v>
      </c>
      <c r="G1210" s="12" t="n">
        <v>215404</v>
      </c>
      <c r="H1210" s="10" t="n">
        <f aca="false">F1210-G1210</f>
        <v>0</v>
      </c>
      <c r="I1210" s="10" t="str">
        <f aca="false">IF(ABS(H1210)&lt;=0.000001,"PASS","FAIL")</f>
        <v>PASS</v>
      </c>
      <c r="J1210" s="10" t="s">
        <v>4139</v>
      </c>
    </row>
    <row r="1211" customFormat="false" ht="15" hidden="false" customHeight="false" outlineLevel="0" collapsed="false">
      <c r="A1211" s="10" t="s">
        <v>4140</v>
      </c>
      <c r="B1211" s="10" t="s">
        <v>1106</v>
      </c>
      <c r="C1211" s="10" t="s">
        <v>4141</v>
      </c>
      <c r="D1211" s="10" t="s">
        <v>1136</v>
      </c>
      <c r="E1211" s="10" t="s">
        <v>899</v>
      </c>
      <c r="F1211" s="22" t="n">
        <f aca="false">Cash_Conversion!N30</f>
        <v>204945</v>
      </c>
      <c r="G1211" s="12" t="n">
        <v>204945</v>
      </c>
      <c r="H1211" s="10" t="n">
        <f aca="false">F1211-G1211</f>
        <v>0</v>
      </c>
      <c r="I1211" s="10" t="str">
        <f aca="false">IF(ABS(H1211)&lt;=0.000001,"PASS","FAIL")</f>
        <v>PASS</v>
      </c>
      <c r="J1211" s="10" t="s">
        <v>4142</v>
      </c>
    </row>
    <row r="1212" customFormat="false" ht="15" hidden="false" customHeight="false" outlineLevel="0" collapsed="false">
      <c r="A1212" s="10" t="s">
        <v>4143</v>
      </c>
      <c r="B1212" s="10" t="s">
        <v>1106</v>
      </c>
      <c r="C1212" s="10" t="s">
        <v>4144</v>
      </c>
      <c r="D1212" s="10" t="s">
        <v>1136</v>
      </c>
      <c r="E1212" s="10" t="s">
        <v>266</v>
      </c>
      <c r="F1212" s="22" t="n">
        <f aca="false">Cash_Conversion!E31</f>
        <v>971995</v>
      </c>
      <c r="G1212" s="12" t="n">
        <v>971995</v>
      </c>
      <c r="H1212" s="10" t="n">
        <f aca="false">F1212-G1212</f>
        <v>0</v>
      </c>
      <c r="I1212" s="10" t="str">
        <f aca="false">IF(ABS(H1212)&lt;=0.000001,"PASS","FAIL")</f>
        <v>PASS</v>
      </c>
      <c r="J1212" s="10" t="s">
        <v>3782</v>
      </c>
    </row>
    <row r="1213" customFormat="false" ht="15" hidden="false" customHeight="false" outlineLevel="0" collapsed="false">
      <c r="A1213" s="10" t="s">
        <v>4145</v>
      </c>
      <c r="B1213" s="10" t="s">
        <v>1106</v>
      </c>
      <c r="C1213" s="10" t="s">
        <v>4146</v>
      </c>
      <c r="D1213" s="10" t="s">
        <v>1136</v>
      </c>
      <c r="E1213" s="10" t="s">
        <v>264</v>
      </c>
      <c r="F1213" s="22" t="n">
        <f aca="false">Cash_Conversion!H31</f>
        <v>132383</v>
      </c>
      <c r="G1213" s="12" t="n">
        <v>132383</v>
      </c>
      <c r="H1213" s="10" t="n">
        <f aca="false">F1213-G1213</f>
        <v>0</v>
      </c>
      <c r="I1213" s="10" t="str">
        <f aca="false">IF(ABS(H1213)&lt;=0.000001,"PASS","FAIL")</f>
        <v>PASS</v>
      </c>
      <c r="J1213" s="10" t="s">
        <v>4147</v>
      </c>
    </row>
    <row r="1214" customFormat="false" ht="15" hidden="false" customHeight="false" outlineLevel="0" collapsed="false">
      <c r="A1214" s="10" t="s">
        <v>4148</v>
      </c>
      <c r="B1214" s="10" t="s">
        <v>1106</v>
      </c>
      <c r="C1214" s="10" t="s">
        <v>4149</v>
      </c>
      <c r="D1214" s="10" t="s">
        <v>1136</v>
      </c>
      <c r="E1214" s="10" t="s">
        <v>900</v>
      </c>
      <c r="F1214" s="22" t="n">
        <f aca="false">Cash_Conversion!K31</f>
        <v>311065</v>
      </c>
      <c r="G1214" s="12" t="n">
        <v>311065</v>
      </c>
      <c r="H1214" s="10" t="n">
        <f aca="false">F1214-G1214</f>
        <v>0</v>
      </c>
      <c r="I1214" s="10" t="str">
        <f aca="false">IF(ABS(H1214)&lt;=0.000001,"PASS","FAIL")</f>
        <v>PASS</v>
      </c>
      <c r="J1214" s="10" t="s">
        <v>4150</v>
      </c>
    </row>
    <row r="1215" customFormat="false" ht="15" hidden="false" customHeight="false" outlineLevel="0" collapsed="false">
      <c r="A1215" s="10" t="s">
        <v>4151</v>
      </c>
      <c r="B1215" s="10" t="s">
        <v>1106</v>
      </c>
      <c r="C1215" s="10" t="s">
        <v>4152</v>
      </c>
      <c r="D1215" s="10" t="s">
        <v>1136</v>
      </c>
      <c r="E1215" s="10" t="s">
        <v>262</v>
      </c>
      <c r="F1215" s="22" t="n">
        <f aca="false">Cash_Conversion!N31</f>
        <v>295830</v>
      </c>
      <c r="G1215" s="12" t="n">
        <v>295830</v>
      </c>
      <c r="H1215" s="10" t="n">
        <f aca="false">F1215-G1215</f>
        <v>0</v>
      </c>
      <c r="I1215" s="10" t="str">
        <f aca="false">IF(ABS(H1215)&lt;=0.000001,"PASS","FAIL")</f>
        <v>PASS</v>
      </c>
      <c r="J1215" s="10" t="s">
        <v>4153</v>
      </c>
    </row>
    <row r="1216" customFormat="false" ht="15" hidden="false" customHeight="false" outlineLevel="0" collapsed="false">
      <c r="A1216" s="10" t="s">
        <v>4154</v>
      </c>
      <c r="B1216" s="10" t="s">
        <v>1106</v>
      </c>
      <c r="C1216" s="10" t="s">
        <v>4155</v>
      </c>
      <c r="D1216" s="10" t="s">
        <v>1136</v>
      </c>
      <c r="E1216" s="10" t="s">
        <v>282</v>
      </c>
      <c r="F1216" s="22" t="n">
        <f aca="false">Cash_Conversion!E32</f>
        <v>1231997</v>
      </c>
      <c r="G1216" s="12" t="n">
        <v>1231997</v>
      </c>
      <c r="H1216" s="10" t="n">
        <f aca="false">F1216-G1216</f>
        <v>0</v>
      </c>
      <c r="I1216" s="10" t="str">
        <f aca="false">IF(ABS(H1216)&lt;=0.000001,"PASS","FAIL")</f>
        <v>PASS</v>
      </c>
      <c r="J1216" s="10" t="s">
        <v>3815</v>
      </c>
    </row>
    <row r="1217" customFormat="false" ht="15" hidden="false" customHeight="false" outlineLevel="0" collapsed="false">
      <c r="A1217" s="10" t="s">
        <v>4156</v>
      </c>
      <c r="B1217" s="10" t="s">
        <v>1106</v>
      </c>
      <c r="C1217" s="10" t="s">
        <v>4157</v>
      </c>
      <c r="D1217" s="10" t="s">
        <v>1136</v>
      </c>
      <c r="E1217" s="10" t="s">
        <v>280</v>
      </c>
      <c r="F1217" s="22" t="n">
        <f aca="false">Cash_Conversion!H32</f>
        <v>175263</v>
      </c>
      <c r="G1217" s="12" t="n">
        <v>175263</v>
      </c>
      <c r="H1217" s="10" t="n">
        <f aca="false">F1217-G1217</f>
        <v>0</v>
      </c>
      <c r="I1217" s="10" t="str">
        <f aca="false">IF(ABS(H1217)&lt;=0.000001,"PASS","FAIL")</f>
        <v>PASS</v>
      </c>
      <c r="J1217" s="10" t="s">
        <v>4158</v>
      </c>
    </row>
    <row r="1218" customFormat="false" ht="15" hidden="false" customHeight="false" outlineLevel="0" collapsed="false">
      <c r="A1218" s="10" t="s">
        <v>4159</v>
      </c>
      <c r="B1218" s="10" t="s">
        <v>1106</v>
      </c>
      <c r="C1218" s="10" t="s">
        <v>4160</v>
      </c>
      <c r="D1218" s="10" t="s">
        <v>1136</v>
      </c>
      <c r="E1218" s="10" t="s">
        <v>901</v>
      </c>
      <c r="F1218" s="22" t="n">
        <f aca="false">Cash_Conversion!K32</f>
        <v>333644</v>
      </c>
      <c r="G1218" s="12" t="n">
        <v>333644</v>
      </c>
      <c r="H1218" s="10" t="n">
        <f aca="false">F1218-G1218</f>
        <v>0</v>
      </c>
      <c r="I1218" s="10" t="str">
        <f aca="false">IF(ABS(H1218)&lt;=0.000001,"PASS","FAIL")</f>
        <v>PASS</v>
      </c>
      <c r="J1218" s="10" t="s">
        <v>4161</v>
      </c>
    </row>
    <row r="1219" customFormat="false" ht="15" hidden="false" customHeight="false" outlineLevel="0" collapsed="false">
      <c r="A1219" s="10" t="s">
        <v>4162</v>
      </c>
      <c r="B1219" s="10" t="s">
        <v>1106</v>
      </c>
      <c r="C1219" s="10" t="s">
        <v>4163</v>
      </c>
      <c r="D1219" s="10" t="s">
        <v>1136</v>
      </c>
      <c r="E1219" s="10" t="s">
        <v>278</v>
      </c>
      <c r="F1219" s="22" t="n">
        <f aca="false">Cash_Conversion!N32</f>
        <v>322660</v>
      </c>
      <c r="G1219" s="12" t="n">
        <v>322660</v>
      </c>
      <c r="H1219" s="10" t="n">
        <f aca="false">F1219-G1219</f>
        <v>0</v>
      </c>
      <c r="I1219" s="10" t="str">
        <f aca="false">IF(ABS(H1219)&lt;=0.000001,"PASS","FAIL")</f>
        <v>PASS</v>
      </c>
      <c r="J1219" s="10" t="s">
        <v>4164</v>
      </c>
    </row>
    <row r="1220" customFormat="false" ht="15" hidden="false" customHeight="false" outlineLevel="0" collapsed="false">
      <c r="A1220" s="10" t="s">
        <v>4165</v>
      </c>
      <c r="B1220" s="10" t="s">
        <v>1107</v>
      </c>
      <c r="C1220" s="10" t="s">
        <v>4166</v>
      </c>
      <c r="D1220" s="10" t="s">
        <v>1136</v>
      </c>
      <c r="E1220" s="10" t="s">
        <v>920</v>
      </c>
      <c r="F1220" s="22" t="n">
        <f aca="false">Cash_Conversion!B48</f>
        <v>1503149</v>
      </c>
      <c r="G1220" s="12" t="n">
        <v>1503149</v>
      </c>
      <c r="H1220" s="10" t="n">
        <f aca="false">F1220-G1220</f>
        <v>0</v>
      </c>
      <c r="I1220" s="10" t="str">
        <f aca="false">IF(ABS(H1220)&lt;=0.000001,"PASS","FAIL")</f>
        <v>PASS</v>
      </c>
      <c r="J1220" s="10" t="s">
        <v>4167</v>
      </c>
    </row>
    <row r="1221" customFormat="false" ht="15" hidden="false" customHeight="false" outlineLevel="0" collapsed="false">
      <c r="A1221" s="10" t="s">
        <v>4168</v>
      </c>
      <c r="B1221" s="10" t="s">
        <v>1107</v>
      </c>
      <c r="C1221" s="10" t="s">
        <v>4169</v>
      </c>
      <c r="D1221" s="10" t="s">
        <v>1136</v>
      </c>
      <c r="E1221" s="10" t="s">
        <v>921</v>
      </c>
      <c r="F1221" s="22" t="n">
        <f aca="false">Cash_Conversion!E48</f>
        <v>997135</v>
      </c>
      <c r="G1221" s="12" t="n">
        <v>997135</v>
      </c>
      <c r="H1221" s="10" t="n">
        <f aca="false">F1221-G1221</f>
        <v>0</v>
      </c>
      <c r="I1221" s="10" t="str">
        <f aca="false">IF(ABS(H1221)&lt;=0.000001,"PASS","FAIL")</f>
        <v>PASS</v>
      </c>
      <c r="J1221" s="10" t="s">
        <v>4170</v>
      </c>
    </row>
    <row r="1222" customFormat="false" ht="15" hidden="false" customHeight="false" outlineLevel="0" collapsed="false">
      <c r="A1222" s="10" t="s">
        <v>4171</v>
      </c>
      <c r="B1222" s="10" t="s">
        <v>1107</v>
      </c>
      <c r="C1222" s="10" t="s">
        <v>4172</v>
      </c>
      <c r="D1222" s="10" t="s">
        <v>1136</v>
      </c>
      <c r="E1222" s="10" t="s">
        <v>890</v>
      </c>
      <c r="F1222" s="22" t="n">
        <f aca="false">Cash_Conversion!B49</f>
        <v>104687</v>
      </c>
      <c r="G1222" s="12" t="n">
        <v>104687</v>
      </c>
      <c r="H1222" s="10" t="n">
        <f aca="false">F1222-G1222</f>
        <v>0</v>
      </c>
      <c r="I1222" s="10" t="str">
        <f aca="false">IF(ABS(H1222)&lt;=0.000001,"PASS","FAIL")</f>
        <v>PASS</v>
      </c>
      <c r="J1222" s="10" t="s">
        <v>4173</v>
      </c>
    </row>
    <row r="1223" customFormat="false" ht="15" hidden="false" customHeight="false" outlineLevel="0" collapsed="false">
      <c r="A1223" s="10" t="s">
        <v>4174</v>
      </c>
      <c r="B1223" s="10" t="s">
        <v>1107</v>
      </c>
      <c r="C1223" s="10" t="s">
        <v>4175</v>
      </c>
      <c r="D1223" s="10" t="s">
        <v>1136</v>
      </c>
      <c r="E1223" s="10" t="s">
        <v>892</v>
      </c>
      <c r="F1223" s="22" t="n">
        <f aca="false">Cash_Conversion!E49</f>
        <v>55354</v>
      </c>
      <c r="G1223" s="12" t="n">
        <v>55354</v>
      </c>
      <c r="H1223" s="10" t="n">
        <f aca="false">F1223-G1223</f>
        <v>0</v>
      </c>
      <c r="I1223" s="10" t="str">
        <f aca="false">IF(ABS(H1223)&lt;=0.000001,"PASS","FAIL")</f>
        <v>PASS</v>
      </c>
      <c r="J1223" s="10" t="s">
        <v>4176</v>
      </c>
    </row>
    <row r="1224" customFormat="false" ht="15" hidden="false" customHeight="false" outlineLevel="0" collapsed="false">
      <c r="A1224" s="10" t="s">
        <v>4177</v>
      </c>
      <c r="B1224" s="10" t="s">
        <v>1107</v>
      </c>
      <c r="C1224" s="10" t="s">
        <v>4178</v>
      </c>
      <c r="D1224" s="10" t="s">
        <v>1136</v>
      </c>
      <c r="E1224" s="10" t="s">
        <v>925</v>
      </c>
      <c r="F1224" s="22" t="n">
        <f aca="false">Cash_Conversion!B50</f>
        <v>-2447</v>
      </c>
      <c r="G1224" s="12" t="n">
        <v>-2447</v>
      </c>
      <c r="H1224" s="10" t="n">
        <f aca="false">F1224-G1224</f>
        <v>0</v>
      </c>
      <c r="I1224" s="10" t="str">
        <f aca="false">IF(ABS(H1224)&lt;=0.000001,"PASS","FAIL")</f>
        <v>PASS</v>
      </c>
      <c r="J1224" s="10" t="s">
        <v>4179</v>
      </c>
    </row>
    <row r="1225" customFormat="false" ht="15" hidden="false" customHeight="false" outlineLevel="0" collapsed="false">
      <c r="A1225" s="10" t="s">
        <v>4180</v>
      </c>
      <c r="B1225" s="10" t="s">
        <v>1107</v>
      </c>
      <c r="C1225" s="10" t="s">
        <v>4181</v>
      </c>
      <c r="D1225" s="10" t="s">
        <v>1136</v>
      </c>
      <c r="E1225" s="10" t="s">
        <v>926</v>
      </c>
      <c r="F1225" s="22" t="n">
        <f aca="false">Cash_Conversion!E50</f>
        <v>-3790</v>
      </c>
      <c r="G1225" s="12" t="n">
        <v>-3790</v>
      </c>
      <c r="H1225" s="10" t="n">
        <f aca="false">F1225-G1225</f>
        <v>0</v>
      </c>
      <c r="I1225" s="10" t="str">
        <f aca="false">IF(ABS(H1225)&lt;=0.000001,"PASS","FAIL")</f>
        <v>PASS</v>
      </c>
      <c r="J1225" s="10" t="s">
        <v>4182</v>
      </c>
    </row>
    <row r="1226" customFormat="false" ht="15" hidden="false" customHeight="false" outlineLevel="0" collapsed="false">
      <c r="A1226" s="10" t="s">
        <v>4183</v>
      </c>
      <c r="B1226" s="10" t="s">
        <v>1107</v>
      </c>
      <c r="C1226" s="10" t="s">
        <v>4184</v>
      </c>
      <c r="D1226" s="10" t="s">
        <v>1136</v>
      </c>
      <c r="E1226" s="10" t="s">
        <v>928</v>
      </c>
      <c r="F1226" s="22" t="n">
        <f aca="false">Cash_Conversion!B51</f>
        <v>-484</v>
      </c>
      <c r="G1226" s="12" t="n">
        <v>-484</v>
      </c>
      <c r="H1226" s="10" t="n">
        <f aca="false">F1226-G1226</f>
        <v>0</v>
      </c>
      <c r="I1226" s="10" t="str">
        <f aca="false">IF(ABS(H1226)&lt;=0.000001,"PASS","FAIL")</f>
        <v>PASS</v>
      </c>
      <c r="J1226" s="10" t="s">
        <v>4185</v>
      </c>
    </row>
    <row r="1227" customFormat="false" ht="15" hidden="false" customHeight="false" outlineLevel="0" collapsed="false">
      <c r="A1227" s="10" t="s">
        <v>4186</v>
      </c>
      <c r="B1227" s="10" t="s">
        <v>1107</v>
      </c>
      <c r="C1227" s="10" t="s">
        <v>4187</v>
      </c>
      <c r="D1227" s="10" t="s">
        <v>1136</v>
      </c>
      <c r="E1227" s="10" t="s">
        <v>929</v>
      </c>
      <c r="F1227" s="22" t="n">
        <f aca="false">Cash_Conversion!E51</f>
        <v>-1106</v>
      </c>
      <c r="G1227" s="12" t="n">
        <v>-1106</v>
      </c>
      <c r="H1227" s="10" t="n">
        <f aca="false">F1227-G1227</f>
        <v>0</v>
      </c>
      <c r="I1227" s="10" t="str">
        <f aca="false">IF(ABS(H1227)&lt;=0.000001,"PASS","FAIL")</f>
        <v>PASS</v>
      </c>
      <c r="J1227" s="10" t="s">
        <v>4188</v>
      </c>
    </row>
    <row r="1228" customFormat="false" ht="15" hidden="false" customHeight="false" outlineLevel="0" collapsed="false">
      <c r="A1228" s="10" t="s">
        <v>4189</v>
      </c>
      <c r="B1228" s="10" t="s">
        <v>1107</v>
      </c>
      <c r="C1228" s="10" t="s">
        <v>4190</v>
      </c>
      <c r="D1228" s="10" t="s">
        <v>1136</v>
      </c>
      <c r="E1228" s="10" t="s">
        <v>931</v>
      </c>
      <c r="F1228" s="22" t="n">
        <f aca="false">Cash_Conversion!B52</f>
        <v>-552612</v>
      </c>
      <c r="G1228" s="12" t="n">
        <v>-552612</v>
      </c>
      <c r="H1228" s="10" t="n">
        <f aca="false">F1228-G1228</f>
        <v>0</v>
      </c>
      <c r="I1228" s="10" t="str">
        <f aca="false">IF(ABS(H1228)&lt;=0.000001,"PASS","FAIL")</f>
        <v>PASS</v>
      </c>
      <c r="J1228" s="10" t="s">
        <v>4191</v>
      </c>
    </row>
    <row r="1229" customFormat="false" ht="15" hidden="false" customHeight="false" outlineLevel="0" collapsed="false">
      <c r="A1229" s="10" t="s">
        <v>4192</v>
      </c>
      <c r="B1229" s="10" t="s">
        <v>1107</v>
      </c>
      <c r="C1229" s="10" t="s">
        <v>4193</v>
      </c>
      <c r="D1229" s="10" t="s">
        <v>1136</v>
      </c>
      <c r="E1229" s="10" t="s">
        <v>932</v>
      </c>
      <c r="F1229" s="22" t="n">
        <f aca="false">Cash_Conversion!E52</f>
        <v>-182359</v>
      </c>
      <c r="G1229" s="12" t="n">
        <v>-182359</v>
      </c>
      <c r="H1229" s="10" t="n">
        <f aca="false">F1229-G1229</f>
        <v>0</v>
      </c>
      <c r="I1229" s="10" t="str">
        <f aca="false">IF(ABS(H1229)&lt;=0.000001,"PASS","FAIL")</f>
        <v>PASS</v>
      </c>
      <c r="J1229" s="10" t="s">
        <v>4194</v>
      </c>
    </row>
    <row r="1230" customFormat="false" ht="15" hidden="false" customHeight="false" outlineLevel="0" collapsed="false">
      <c r="A1230" s="10" t="s">
        <v>4195</v>
      </c>
      <c r="B1230" s="10" t="s">
        <v>1107</v>
      </c>
      <c r="C1230" s="10" t="s">
        <v>4196</v>
      </c>
      <c r="D1230" s="10" t="s">
        <v>1136</v>
      </c>
      <c r="E1230" s="10" t="s">
        <v>921</v>
      </c>
      <c r="F1230" s="22" t="n">
        <f aca="false">Cash_Conversion!B54</f>
        <v>997135</v>
      </c>
      <c r="G1230" s="12" t="n">
        <v>997135</v>
      </c>
      <c r="H1230" s="10" t="n">
        <f aca="false">F1230-G1230</f>
        <v>0</v>
      </c>
      <c r="I1230" s="10" t="str">
        <f aca="false">IF(ABS(H1230)&lt;=0.000001,"PASS","FAIL")</f>
        <v>PASS</v>
      </c>
      <c r="J1230" s="10" t="s">
        <v>4197</v>
      </c>
    </row>
    <row r="1231" customFormat="false" ht="15" hidden="false" customHeight="false" outlineLevel="0" collapsed="false">
      <c r="A1231" s="10" t="s">
        <v>4198</v>
      </c>
      <c r="B1231" s="10" t="s">
        <v>1107</v>
      </c>
      <c r="C1231" s="10" t="s">
        <v>4199</v>
      </c>
      <c r="D1231" s="10" t="s">
        <v>1136</v>
      </c>
      <c r="E1231" s="10" t="s">
        <v>936</v>
      </c>
      <c r="F1231" s="22" t="n">
        <f aca="false">Cash_Conversion!E54</f>
        <v>853402</v>
      </c>
      <c r="G1231" s="12" t="n">
        <v>853402</v>
      </c>
      <c r="H1231" s="10" t="n">
        <f aca="false">F1231-G1231</f>
        <v>0</v>
      </c>
      <c r="I1231" s="10" t="str">
        <f aca="false">IF(ABS(H1231)&lt;=0.000001,"PASS","FAIL")</f>
        <v>PASS</v>
      </c>
      <c r="J1231" s="10" t="s">
        <v>4200</v>
      </c>
    </row>
    <row r="1232" customFormat="false" ht="15" hidden="false" customHeight="false" outlineLevel="0" collapsed="false">
      <c r="A1232" s="10" t="s">
        <v>4201</v>
      </c>
      <c r="B1232" s="10" t="s">
        <v>1107</v>
      </c>
      <c r="C1232" s="10" t="s">
        <v>4202</v>
      </c>
      <c r="D1232" s="10" t="s">
        <v>1136</v>
      </c>
      <c r="E1232" s="10" t="s">
        <v>939</v>
      </c>
      <c r="F1232" s="22" t="n">
        <f aca="false">Cash_Conversion!B57</f>
        <v>162308</v>
      </c>
      <c r="G1232" s="12" t="n">
        <v>162308</v>
      </c>
      <c r="H1232" s="10" t="n">
        <f aca="false">F1232-G1232</f>
        <v>0</v>
      </c>
      <c r="I1232" s="10" t="str">
        <f aca="false">IF(ABS(H1232)&lt;=0.000001,"PASS","FAIL")</f>
        <v>PASS</v>
      </c>
      <c r="J1232" s="10" t="s">
        <v>938</v>
      </c>
    </row>
    <row r="1233" customFormat="false" ht="15" hidden="false" customHeight="false" outlineLevel="0" collapsed="false">
      <c r="A1233" s="10" t="s">
        <v>4203</v>
      </c>
      <c r="B1233" s="10" t="s">
        <v>1107</v>
      </c>
      <c r="C1233" s="10" t="s">
        <v>4204</v>
      </c>
      <c r="D1233" s="10" t="s">
        <v>1136</v>
      </c>
      <c r="E1233" s="10" t="s">
        <v>941</v>
      </c>
      <c r="F1233" s="22" t="n">
        <f aca="false">Cash_Conversion!B58</f>
        <v>215141</v>
      </c>
      <c r="G1233" s="12" t="n">
        <v>215141</v>
      </c>
      <c r="H1233" s="10" t="n">
        <f aca="false">F1233-G1233</f>
        <v>0</v>
      </c>
      <c r="I1233" s="10" t="str">
        <f aca="false">IF(ABS(H1233)&lt;=0.000001,"PASS","FAIL")</f>
        <v>PASS</v>
      </c>
      <c r="J1233" s="10" t="s">
        <v>940</v>
      </c>
    </row>
    <row r="1234" customFormat="false" ht="15" hidden="false" customHeight="false" outlineLevel="0" collapsed="false">
      <c r="A1234" s="10" t="s">
        <v>4205</v>
      </c>
      <c r="B1234" s="10" t="s">
        <v>1107</v>
      </c>
      <c r="C1234" s="10" t="s">
        <v>4206</v>
      </c>
      <c r="D1234" s="10" t="s">
        <v>1136</v>
      </c>
      <c r="E1234" s="10" t="s">
        <v>943</v>
      </c>
      <c r="F1234" s="22" t="n">
        <f aca="false">Cash_Conversion!B59</f>
        <v>219353</v>
      </c>
      <c r="G1234" s="12" t="n">
        <v>219353</v>
      </c>
      <c r="H1234" s="10" t="n">
        <f aca="false">F1234-G1234</f>
        <v>0</v>
      </c>
      <c r="I1234" s="10" t="str">
        <f aca="false">IF(ABS(H1234)&lt;=0.000001,"PASS","FAIL")</f>
        <v>PASS</v>
      </c>
      <c r="J1234" s="10" t="s">
        <v>942</v>
      </c>
    </row>
    <row r="1235" customFormat="false" ht="15" hidden="false" customHeight="false" outlineLevel="0" collapsed="false">
      <c r="A1235" s="10" t="s">
        <v>4207</v>
      </c>
      <c r="B1235" s="10" t="s">
        <v>1107</v>
      </c>
      <c r="C1235" s="10" t="s">
        <v>4208</v>
      </c>
      <c r="D1235" s="10" t="s">
        <v>1136</v>
      </c>
      <c r="E1235" s="10" t="s">
        <v>948</v>
      </c>
      <c r="F1235" s="22" t="n">
        <f aca="false">Cash_Conversion!B62</f>
        <v>160041</v>
      </c>
      <c r="G1235" s="12" t="n">
        <v>160041</v>
      </c>
      <c r="H1235" s="10" t="n">
        <f aca="false">F1235-G1235</f>
        <v>0</v>
      </c>
      <c r="I1235" s="10" t="str">
        <f aca="false">IF(ABS(H1235)&lt;=0.000001,"PASS","FAIL")</f>
        <v>PASS</v>
      </c>
      <c r="J1235" s="10" t="s">
        <v>947</v>
      </c>
    </row>
    <row r="1236" customFormat="false" ht="15" hidden="false" customHeight="false" outlineLevel="0" collapsed="false">
      <c r="A1236" s="10" t="s">
        <v>4209</v>
      </c>
      <c r="B1236" s="10" t="s">
        <v>1107</v>
      </c>
      <c r="C1236" s="10" t="s">
        <v>4210</v>
      </c>
      <c r="D1236" s="10" t="s">
        <v>1136</v>
      </c>
      <c r="E1236" s="10" t="s">
        <v>950</v>
      </c>
      <c r="F1236" s="22" t="n">
        <f aca="false">Cash_Conversion!B63</f>
        <v>-734971</v>
      </c>
      <c r="G1236" s="12" t="n">
        <v>-734971</v>
      </c>
      <c r="H1236" s="10" t="n">
        <f aca="false">F1236-G1236</f>
        <v>0</v>
      </c>
      <c r="I1236" s="10" t="str">
        <f aca="false">IF(ABS(H1236)&lt;=0.000001,"PASS","FAIL")</f>
        <v>PASS</v>
      </c>
      <c r="J1236" s="10" t="s">
        <v>949</v>
      </c>
    </row>
    <row r="1237" customFormat="false" ht="15" hidden="false" customHeight="false" outlineLevel="0" collapsed="false">
      <c r="A1237" s="10" t="s">
        <v>4211</v>
      </c>
      <c r="B1237" s="10" t="s">
        <v>1108</v>
      </c>
      <c r="C1237" s="10" t="s">
        <v>4212</v>
      </c>
      <c r="D1237" s="10" t="s">
        <v>1136</v>
      </c>
      <c r="E1237" s="10" t="s">
        <v>348</v>
      </c>
      <c r="F1237" s="22" t="n">
        <f aca="false">Deceleration!B6</f>
        <v>58972</v>
      </c>
      <c r="G1237" s="12" t="n">
        <v>58972</v>
      </c>
      <c r="H1237" s="10" t="n">
        <f aca="false">F1237-G1237</f>
        <v>0</v>
      </c>
      <c r="I1237" s="10" t="str">
        <f aca="false">IF(ABS(H1237)&lt;=0.000001,"PASS","FAIL")</f>
        <v>PASS</v>
      </c>
      <c r="J1237" s="10" t="s">
        <v>2399</v>
      </c>
    </row>
    <row r="1238" customFormat="false" ht="15" hidden="false" customHeight="false" outlineLevel="0" collapsed="false">
      <c r="A1238" s="10" t="s">
        <v>4213</v>
      </c>
      <c r="B1238" s="10" t="s">
        <v>1108</v>
      </c>
      <c r="C1238" s="10" t="s">
        <v>4214</v>
      </c>
      <c r="D1238" s="10" t="s">
        <v>1136</v>
      </c>
      <c r="E1238" s="10" t="s">
        <v>352</v>
      </c>
      <c r="F1238" s="22" t="n">
        <f aca="false">Deceleration!B7</f>
        <v>70615</v>
      </c>
      <c r="G1238" s="12" t="n">
        <v>70615</v>
      </c>
      <c r="H1238" s="10" t="n">
        <f aca="false">F1238-G1238</f>
        <v>0</v>
      </c>
      <c r="I1238" s="10" t="str">
        <f aca="false">IF(ABS(H1238)&lt;=0.000001,"PASS","FAIL")</f>
        <v>PASS</v>
      </c>
      <c r="J1238" s="10" t="s">
        <v>2408</v>
      </c>
    </row>
    <row r="1239" customFormat="false" ht="15" hidden="false" customHeight="false" outlineLevel="0" collapsed="false">
      <c r="A1239" s="10" t="s">
        <v>4215</v>
      </c>
      <c r="B1239" s="10" t="s">
        <v>1108</v>
      </c>
      <c r="C1239" s="10" t="s">
        <v>4216</v>
      </c>
      <c r="D1239" s="10" t="s">
        <v>1136</v>
      </c>
      <c r="E1239" s="10" t="s">
        <v>57</v>
      </c>
      <c r="F1239" s="22" t="n">
        <f aca="false">Deceleration!B8</f>
        <v>83018</v>
      </c>
      <c r="G1239" s="12" t="n">
        <v>83018</v>
      </c>
      <c r="H1239" s="10" t="n">
        <f aca="false">F1239-G1239</f>
        <v>0</v>
      </c>
      <c r="I1239" s="10" t="str">
        <f aca="false">IF(ABS(H1239)&lt;=0.000001,"PASS","FAIL")</f>
        <v>PASS</v>
      </c>
      <c r="J1239" s="10" t="s">
        <v>2418</v>
      </c>
    </row>
    <row r="1240" customFormat="false" ht="15" hidden="false" customHeight="false" outlineLevel="0" collapsed="false">
      <c r="A1240" s="10" t="s">
        <v>4217</v>
      </c>
      <c r="B1240" s="10" t="s">
        <v>1108</v>
      </c>
      <c r="C1240" s="10" t="s">
        <v>4218</v>
      </c>
      <c r="D1240" s="10" t="s">
        <v>1136</v>
      </c>
      <c r="E1240" s="10" t="s">
        <v>61</v>
      </c>
      <c r="F1240" s="22" t="n">
        <f aca="false">Deceleration!B9</f>
        <v>95545</v>
      </c>
      <c r="G1240" s="12" t="n">
        <v>95545</v>
      </c>
      <c r="H1240" s="10" t="n">
        <f aca="false">F1240-G1240</f>
        <v>0</v>
      </c>
      <c r="I1240" s="10" t="str">
        <f aca="false">IF(ABS(H1240)&lt;=0.000001,"PASS","FAIL")</f>
        <v>PASS</v>
      </c>
      <c r="J1240" s="10" t="s">
        <v>2428</v>
      </c>
    </row>
    <row r="1241" customFormat="false" ht="15" hidden="false" customHeight="false" outlineLevel="0" collapsed="false">
      <c r="A1241" s="10" t="s">
        <v>4219</v>
      </c>
      <c r="B1241" s="10" t="s">
        <v>1108</v>
      </c>
      <c r="C1241" s="10" t="s">
        <v>4220</v>
      </c>
      <c r="D1241" s="10" t="s">
        <v>1136</v>
      </c>
      <c r="E1241" s="10" t="s">
        <v>65</v>
      </c>
      <c r="F1241" s="22" t="n">
        <f aca="false">Deceleration!B10</f>
        <v>108497</v>
      </c>
      <c r="G1241" s="12" t="n">
        <v>108497</v>
      </c>
      <c r="H1241" s="10" t="n">
        <f aca="false">F1241-G1241</f>
        <v>0</v>
      </c>
      <c r="I1241" s="10" t="str">
        <f aca="false">IF(ABS(H1241)&lt;=0.000001,"PASS","FAIL")</f>
        <v>PASS</v>
      </c>
      <c r="J1241" s="10" t="s">
        <v>2445</v>
      </c>
    </row>
    <row r="1242" customFormat="false" ht="15" hidden="false" customHeight="false" outlineLevel="0" collapsed="false">
      <c r="A1242" s="10" t="s">
        <v>4221</v>
      </c>
      <c r="B1242" s="10" t="s">
        <v>1109</v>
      </c>
      <c r="C1242" s="10" t="s">
        <v>4222</v>
      </c>
      <c r="D1242" s="10" t="s">
        <v>1136</v>
      </c>
      <c r="E1242" s="10" t="s">
        <v>67</v>
      </c>
      <c r="F1242" s="25" t="n">
        <f aca="false">Deceleration!H10</f>
        <v>-100</v>
      </c>
      <c r="G1242" s="12" t="n">
        <v>-100</v>
      </c>
      <c r="H1242" s="10" t="n">
        <f aca="false">F1242-G1242</f>
        <v>0</v>
      </c>
      <c r="I1242" s="10" t="str">
        <f aca="false">IF(ABS(H1242)&lt;=0.000001,"PASS","FAIL")</f>
        <v>PASS</v>
      </c>
      <c r="J1242" s="10" t="s">
        <v>1162</v>
      </c>
    </row>
    <row r="1243" customFormat="false" ht="15" hidden="false" customHeight="false" outlineLevel="0" collapsed="false">
      <c r="A1243" s="10" t="s">
        <v>4223</v>
      </c>
      <c r="B1243" s="10" t="s">
        <v>1108</v>
      </c>
      <c r="C1243" s="10" t="s">
        <v>4224</v>
      </c>
      <c r="D1243" s="10" t="s">
        <v>1136</v>
      </c>
      <c r="E1243" s="10" t="s">
        <v>71</v>
      </c>
      <c r="F1243" s="22" t="n">
        <f aca="false">Deceleration!B11</f>
        <v>123718</v>
      </c>
      <c r="G1243" s="12" t="n">
        <v>123718</v>
      </c>
      <c r="H1243" s="10" t="n">
        <f aca="false">F1243-G1243</f>
        <v>0</v>
      </c>
      <c r="I1243" s="10" t="str">
        <f aca="false">IF(ABS(H1243)&lt;=0.000001,"PASS","FAIL")</f>
        <v>PASS</v>
      </c>
      <c r="J1243" s="10" t="s">
        <v>2466</v>
      </c>
    </row>
    <row r="1244" customFormat="false" ht="15" hidden="false" customHeight="false" outlineLevel="0" collapsed="false">
      <c r="A1244" s="10" t="s">
        <v>4225</v>
      </c>
      <c r="B1244" s="10" t="s">
        <v>1109</v>
      </c>
      <c r="C1244" s="10" t="s">
        <v>4226</v>
      </c>
      <c r="D1244" s="10" t="s">
        <v>1136</v>
      </c>
      <c r="E1244" s="10" t="s">
        <v>73</v>
      </c>
      <c r="F1244" s="25" t="n">
        <f aca="false">Deceleration!H11</f>
        <v>-200</v>
      </c>
      <c r="G1244" s="12" t="n">
        <v>-200</v>
      </c>
      <c r="H1244" s="10" t="n">
        <f aca="false">F1244-G1244</f>
        <v>0</v>
      </c>
      <c r="I1244" s="10" t="str">
        <f aca="false">IF(ABS(H1244)&lt;=0.000001,"PASS","FAIL")</f>
        <v>PASS</v>
      </c>
      <c r="J1244" s="10" t="s">
        <v>1176</v>
      </c>
    </row>
    <row r="1245" customFormat="false" ht="15" hidden="false" customHeight="false" outlineLevel="0" collapsed="false">
      <c r="A1245" s="10" t="s">
        <v>4227</v>
      </c>
      <c r="B1245" s="10" t="s">
        <v>1108</v>
      </c>
      <c r="C1245" s="10" t="s">
        <v>4228</v>
      </c>
      <c r="D1245" s="10" t="s">
        <v>1136</v>
      </c>
      <c r="E1245" s="10" t="s">
        <v>76</v>
      </c>
      <c r="F1245" s="22" t="n">
        <f aca="false">Deceleration!B12</f>
        <v>136893</v>
      </c>
      <c r="G1245" s="12" t="n">
        <v>136893</v>
      </c>
      <c r="H1245" s="10" t="n">
        <f aca="false">F1245-G1245</f>
        <v>0</v>
      </c>
      <c r="I1245" s="10" t="str">
        <f aca="false">IF(ABS(H1245)&lt;=0.000001,"PASS","FAIL")</f>
        <v>PASS</v>
      </c>
      <c r="J1245" s="10" t="s">
        <v>2484</v>
      </c>
    </row>
    <row r="1246" customFormat="false" ht="15" hidden="false" customHeight="false" outlineLevel="0" collapsed="false">
      <c r="A1246" s="10" t="s">
        <v>4229</v>
      </c>
      <c r="B1246" s="10" t="s">
        <v>1109</v>
      </c>
      <c r="C1246" s="10" t="s">
        <v>4230</v>
      </c>
      <c r="D1246" s="10" t="s">
        <v>1136</v>
      </c>
      <c r="E1246" s="10" t="s">
        <v>77</v>
      </c>
      <c r="F1246" s="25" t="n">
        <f aca="false">Deceleration!H12</f>
        <v>-300</v>
      </c>
      <c r="G1246" s="12" t="n">
        <v>-300</v>
      </c>
      <c r="H1246" s="10" t="n">
        <f aca="false">F1246-G1246</f>
        <v>0</v>
      </c>
      <c r="I1246" s="10" t="str">
        <f aca="false">IF(ABS(H1246)&lt;=0.000001,"PASS","FAIL")</f>
        <v>PASS</v>
      </c>
      <c r="J1246" s="10" t="s">
        <v>1190</v>
      </c>
    </row>
    <row r="1247" customFormat="false" ht="15" hidden="false" customHeight="false" outlineLevel="0" collapsed="false">
      <c r="A1247" s="10" t="s">
        <v>4231</v>
      </c>
      <c r="B1247" s="10" t="s">
        <v>1108</v>
      </c>
      <c r="C1247" s="10" t="s">
        <v>4232</v>
      </c>
      <c r="D1247" s="10" t="s">
        <v>1136</v>
      </c>
      <c r="E1247" s="10" t="s">
        <v>80</v>
      </c>
      <c r="F1247" s="22" t="n">
        <f aca="false">Deceleration!B13</f>
        <v>149921</v>
      </c>
      <c r="G1247" s="12" t="n">
        <v>149921</v>
      </c>
      <c r="H1247" s="10" t="n">
        <f aca="false">F1247-G1247</f>
        <v>0</v>
      </c>
      <c r="I1247" s="10" t="str">
        <f aca="false">IF(ABS(H1247)&lt;=0.000001,"PASS","FAIL")</f>
        <v>PASS</v>
      </c>
      <c r="J1247" s="10" t="s">
        <v>2502</v>
      </c>
    </row>
    <row r="1248" customFormat="false" ht="15" hidden="false" customHeight="false" outlineLevel="0" collapsed="false">
      <c r="A1248" s="10" t="s">
        <v>4233</v>
      </c>
      <c r="B1248" s="10" t="s">
        <v>1109</v>
      </c>
      <c r="C1248" s="10" t="s">
        <v>4234</v>
      </c>
      <c r="D1248" s="10" t="s">
        <v>1136</v>
      </c>
      <c r="E1248" s="10" t="s">
        <v>82</v>
      </c>
      <c r="F1248" s="25" t="n">
        <f aca="false">Deceleration!H13</f>
        <v>-300</v>
      </c>
      <c r="G1248" s="12" t="n">
        <v>-300</v>
      </c>
      <c r="H1248" s="10" t="n">
        <f aca="false">F1248-G1248</f>
        <v>0</v>
      </c>
      <c r="I1248" s="10" t="str">
        <f aca="false">IF(ABS(H1248)&lt;=0.000001,"PASS","FAIL")</f>
        <v>PASS</v>
      </c>
      <c r="J1248" s="10" t="s">
        <v>1204</v>
      </c>
    </row>
    <row r="1249" customFormat="false" ht="15" hidden="false" customHeight="false" outlineLevel="0" collapsed="false">
      <c r="A1249" s="10" t="s">
        <v>4235</v>
      </c>
      <c r="B1249" s="10" t="s">
        <v>1108</v>
      </c>
      <c r="C1249" s="10" t="s">
        <v>4236</v>
      </c>
      <c r="D1249" s="10" t="s">
        <v>1136</v>
      </c>
      <c r="E1249" s="10" t="s">
        <v>85</v>
      </c>
      <c r="F1249" s="22" t="n">
        <f aca="false">Deceleration!B14</f>
        <v>162256</v>
      </c>
      <c r="G1249" s="12" t="n">
        <v>162256</v>
      </c>
      <c r="H1249" s="10" t="n">
        <f aca="false">F1249-G1249</f>
        <v>0</v>
      </c>
      <c r="I1249" s="10" t="str">
        <f aca="false">IF(ABS(H1249)&lt;=0.000001,"PASS","FAIL")</f>
        <v>PASS</v>
      </c>
      <c r="J1249" s="10" t="s">
        <v>2523</v>
      </c>
    </row>
    <row r="1250" customFormat="false" ht="15" hidden="false" customHeight="false" outlineLevel="0" collapsed="false">
      <c r="A1250" s="10" t="s">
        <v>4237</v>
      </c>
      <c r="B1250" s="10" t="s">
        <v>1109</v>
      </c>
      <c r="C1250" s="10" t="s">
        <v>4238</v>
      </c>
      <c r="D1250" s="10" t="s">
        <v>1136</v>
      </c>
      <c r="E1250" s="10" t="s">
        <v>87</v>
      </c>
      <c r="F1250" s="25" t="n">
        <f aca="false">Deceleration!H14</f>
        <v>-100</v>
      </c>
      <c r="G1250" s="12" t="n">
        <v>-100</v>
      </c>
      <c r="H1250" s="10" t="n">
        <f aca="false">F1250-G1250</f>
        <v>0</v>
      </c>
      <c r="I1250" s="10" t="str">
        <f aca="false">IF(ABS(H1250)&lt;=0.000001,"PASS","FAIL")</f>
        <v>PASS</v>
      </c>
      <c r="J1250" s="10" t="s">
        <v>1218</v>
      </c>
    </row>
    <row r="1251" customFormat="false" ht="15" hidden="false" customHeight="false" outlineLevel="0" collapsed="false">
      <c r="A1251" s="10" t="s">
        <v>4239</v>
      </c>
      <c r="B1251" s="10" t="s">
        <v>1108</v>
      </c>
      <c r="C1251" s="10" t="s">
        <v>4240</v>
      </c>
      <c r="D1251" s="10" t="s">
        <v>1136</v>
      </c>
      <c r="E1251" s="10" t="s">
        <v>90</v>
      </c>
      <c r="F1251" s="22" t="n">
        <f aca="false">Deceleration!B15</f>
        <v>175679</v>
      </c>
      <c r="G1251" s="12" t="n">
        <v>175679</v>
      </c>
      <c r="H1251" s="10" t="n">
        <f aca="false">F1251-G1251</f>
        <v>0</v>
      </c>
      <c r="I1251" s="10" t="str">
        <f aca="false">IF(ABS(H1251)&lt;=0.000001,"PASS","FAIL")</f>
        <v>PASS</v>
      </c>
      <c r="J1251" s="10" t="s">
        <v>2547</v>
      </c>
    </row>
    <row r="1252" customFormat="false" ht="15" hidden="false" customHeight="false" outlineLevel="0" collapsed="false">
      <c r="A1252" s="10" t="s">
        <v>4241</v>
      </c>
      <c r="B1252" s="10" t="s">
        <v>1109</v>
      </c>
      <c r="C1252" s="10" t="s">
        <v>4242</v>
      </c>
      <c r="D1252" s="10" t="s">
        <v>1136</v>
      </c>
      <c r="E1252" s="10" t="s">
        <v>92</v>
      </c>
      <c r="F1252" s="25" t="n">
        <f aca="false">Deceleration!H15</f>
        <v>-100</v>
      </c>
      <c r="G1252" s="12" t="n">
        <v>-100</v>
      </c>
      <c r="H1252" s="10" t="n">
        <f aca="false">F1252-G1252</f>
        <v>0</v>
      </c>
      <c r="I1252" s="10" t="str">
        <f aca="false">IF(ABS(H1252)&lt;=0.000001,"PASS","FAIL")</f>
        <v>PASS</v>
      </c>
      <c r="J1252" s="10" t="s">
        <v>1232</v>
      </c>
    </row>
    <row r="1253" customFormat="false" ht="15" hidden="false" customHeight="false" outlineLevel="0" collapsed="false">
      <c r="A1253" s="10" t="s">
        <v>4243</v>
      </c>
      <c r="B1253" s="10" t="s">
        <v>1108</v>
      </c>
      <c r="C1253" s="10" t="s">
        <v>4244</v>
      </c>
      <c r="D1253" s="10" t="s">
        <v>1136</v>
      </c>
      <c r="E1253" s="10" t="s">
        <v>95</v>
      </c>
      <c r="F1253" s="22" t="n">
        <f aca="false">Deceleration!B16</f>
        <v>189190</v>
      </c>
      <c r="G1253" s="12" t="n">
        <v>189190</v>
      </c>
      <c r="H1253" s="10" t="n">
        <f aca="false">F1253-G1253</f>
        <v>0</v>
      </c>
      <c r="I1253" s="10" t="str">
        <f aca="false">IF(ABS(H1253)&lt;=0.000001,"PASS","FAIL")</f>
        <v>PASS</v>
      </c>
      <c r="J1253" s="10" t="s">
        <v>2571</v>
      </c>
    </row>
    <row r="1254" customFormat="false" ht="15" hidden="false" customHeight="false" outlineLevel="0" collapsed="false">
      <c r="A1254" s="10" t="s">
        <v>4245</v>
      </c>
      <c r="B1254" s="10" t="s">
        <v>1109</v>
      </c>
      <c r="C1254" s="10" t="s">
        <v>4246</v>
      </c>
      <c r="D1254" s="10" t="s">
        <v>1136</v>
      </c>
      <c r="E1254" s="10" t="s">
        <v>97</v>
      </c>
      <c r="F1254" s="25" t="n">
        <f aca="false">Deceleration!H16</f>
        <v>0</v>
      </c>
      <c r="G1254" s="12" t="n">
        <v>0</v>
      </c>
      <c r="H1254" s="10" t="n">
        <f aca="false">F1254-G1254</f>
        <v>0</v>
      </c>
      <c r="I1254" s="10" t="str">
        <f aca="false">IF(ABS(H1254)&lt;=0.000001,"PASS","FAIL")</f>
        <v>PASS</v>
      </c>
      <c r="J1254" s="10" t="s">
        <v>1246</v>
      </c>
    </row>
    <row r="1255" customFormat="false" ht="15" hidden="false" customHeight="false" outlineLevel="0" collapsed="false">
      <c r="A1255" s="10" t="s">
        <v>4247</v>
      </c>
      <c r="B1255" s="10" t="s">
        <v>1108</v>
      </c>
      <c r="C1255" s="10" t="s">
        <v>4248</v>
      </c>
      <c r="D1255" s="10" t="s">
        <v>1136</v>
      </c>
      <c r="E1255" s="10" t="s">
        <v>100</v>
      </c>
      <c r="F1255" s="22" t="n">
        <f aca="false">Deceleration!B17</f>
        <v>202570</v>
      </c>
      <c r="G1255" s="12" t="n">
        <v>202570</v>
      </c>
      <c r="H1255" s="10" t="n">
        <f aca="false">F1255-G1255</f>
        <v>0</v>
      </c>
      <c r="I1255" s="10" t="str">
        <f aca="false">IF(ABS(H1255)&lt;=0.000001,"PASS","FAIL")</f>
        <v>PASS</v>
      </c>
      <c r="J1255" s="10" t="s">
        <v>2595</v>
      </c>
    </row>
    <row r="1256" customFormat="false" ht="15" hidden="false" customHeight="false" outlineLevel="0" collapsed="false">
      <c r="A1256" s="10" t="s">
        <v>4249</v>
      </c>
      <c r="B1256" s="10" t="s">
        <v>1109</v>
      </c>
      <c r="C1256" s="10" t="s">
        <v>4250</v>
      </c>
      <c r="D1256" s="10" t="s">
        <v>1136</v>
      </c>
      <c r="E1256" s="10" t="s">
        <v>102</v>
      </c>
      <c r="F1256" s="25" t="n">
        <f aca="false">Deceleration!H17</f>
        <v>0</v>
      </c>
      <c r="G1256" s="12" t="n">
        <v>0</v>
      </c>
      <c r="H1256" s="10" t="n">
        <f aca="false">F1256-G1256</f>
        <v>0</v>
      </c>
      <c r="I1256" s="10" t="str">
        <f aca="false">IF(ABS(H1256)&lt;=0.000001,"PASS","FAIL")</f>
        <v>PASS</v>
      </c>
      <c r="J1256" s="10" t="s">
        <v>1260</v>
      </c>
    </row>
    <row r="1257" customFormat="false" ht="15" hidden="false" customHeight="false" outlineLevel="0" collapsed="false">
      <c r="A1257" s="10" t="s">
        <v>4251</v>
      </c>
      <c r="B1257" s="10" t="s">
        <v>1108</v>
      </c>
      <c r="C1257" s="10" t="s">
        <v>4252</v>
      </c>
      <c r="D1257" s="10" t="s">
        <v>1136</v>
      </c>
      <c r="E1257" s="10" t="s">
        <v>105</v>
      </c>
      <c r="F1257" s="22" t="n">
        <f aca="false">Deceleration!B18</f>
        <v>216913</v>
      </c>
      <c r="G1257" s="12" t="n">
        <v>216913</v>
      </c>
      <c r="H1257" s="10" t="n">
        <f aca="false">F1257-G1257</f>
        <v>0</v>
      </c>
      <c r="I1257" s="10" t="str">
        <f aca="false">IF(ABS(H1257)&lt;=0.000001,"PASS","FAIL")</f>
        <v>PASS</v>
      </c>
      <c r="J1257" s="10" t="s">
        <v>2619</v>
      </c>
    </row>
    <row r="1258" customFormat="false" ht="15" hidden="false" customHeight="false" outlineLevel="0" collapsed="false">
      <c r="A1258" s="10" t="s">
        <v>4253</v>
      </c>
      <c r="B1258" s="10" t="s">
        <v>1109</v>
      </c>
      <c r="C1258" s="10" t="s">
        <v>4254</v>
      </c>
      <c r="D1258" s="10" t="s">
        <v>1136</v>
      </c>
      <c r="E1258" s="10" t="s">
        <v>107</v>
      </c>
      <c r="F1258" s="25" t="n">
        <f aca="false">Deceleration!H18</f>
        <v>0</v>
      </c>
      <c r="G1258" s="12" t="n">
        <v>0</v>
      </c>
      <c r="H1258" s="10" t="n">
        <f aca="false">F1258-G1258</f>
        <v>0</v>
      </c>
      <c r="I1258" s="10" t="str">
        <f aca="false">IF(ABS(H1258)&lt;=0.000001,"PASS","FAIL")</f>
        <v>PASS</v>
      </c>
      <c r="J1258" s="10" t="s">
        <v>1274</v>
      </c>
    </row>
    <row r="1259" customFormat="false" ht="15" hidden="false" customHeight="false" outlineLevel="0" collapsed="false">
      <c r="A1259" s="10" t="s">
        <v>4255</v>
      </c>
      <c r="B1259" s="10" t="s">
        <v>1108</v>
      </c>
      <c r="C1259" s="10" t="s">
        <v>4256</v>
      </c>
      <c r="D1259" s="10" t="s">
        <v>1136</v>
      </c>
      <c r="E1259" s="10" t="s">
        <v>110</v>
      </c>
      <c r="F1259" s="22" t="n">
        <f aca="false">Deceleration!B19</f>
        <v>236106</v>
      </c>
      <c r="G1259" s="12" t="n">
        <v>236106</v>
      </c>
      <c r="H1259" s="10" t="n">
        <f aca="false">F1259-G1259</f>
        <v>0</v>
      </c>
      <c r="I1259" s="10" t="str">
        <f aca="false">IF(ABS(H1259)&lt;=0.000001,"PASS","FAIL")</f>
        <v>PASS</v>
      </c>
      <c r="J1259" s="10" t="s">
        <v>2643</v>
      </c>
    </row>
    <row r="1260" customFormat="false" ht="15" hidden="false" customHeight="false" outlineLevel="0" collapsed="false">
      <c r="A1260" s="10" t="s">
        <v>4257</v>
      </c>
      <c r="B1260" s="10" t="s">
        <v>1109</v>
      </c>
      <c r="C1260" s="10" t="s">
        <v>4258</v>
      </c>
      <c r="D1260" s="10" t="s">
        <v>1136</v>
      </c>
      <c r="E1260" s="10" t="s">
        <v>112</v>
      </c>
      <c r="F1260" s="25" t="n">
        <f aca="false">Deceleration!H19</f>
        <v>0</v>
      </c>
      <c r="G1260" s="12" t="n">
        <v>0</v>
      </c>
      <c r="H1260" s="10" t="n">
        <f aca="false">F1260-G1260</f>
        <v>0</v>
      </c>
      <c r="I1260" s="10" t="str">
        <f aca="false">IF(ABS(H1260)&lt;=0.000001,"PASS","FAIL")</f>
        <v>PASS</v>
      </c>
      <c r="J1260" s="10" t="s">
        <v>1288</v>
      </c>
    </row>
    <row r="1261" customFormat="false" ht="15" hidden="false" customHeight="false" outlineLevel="0" collapsed="false">
      <c r="A1261" s="10" t="s">
        <v>4259</v>
      </c>
      <c r="B1261" s="10" t="s">
        <v>1108</v>
      </c>
      <c r="C1261" s="10" t="s">
        <v>4260</v>
      </c>
      <c r="D1261" s="10" t="s">
        <v>1136</v>
      </c>
      <c r="E1261" s="10" t="s">
        <v>115</v>
      </c>
      <c r="F1261" s="22" t="n">
        <f aca="false">Deceleration!B20</f>
        <v>251000</v>
      </c>
      <c r="G1261" s="12" t="n">
        <v>251000</v>
      </c>
      <c r="H1261" s="10" t="n">
        <f aca="false">F1261-G1261</f>
        <v>0</v>
      </c>
      <c r="I1261" s="10" t="str">
        <f aca="false">IF(ABS(H1261)&lt;=0.000001,"PASS","FAIL")</f>
        <v>PASS</v>
      </c>
      <c r="J1261" s="10" t="s">
        <v>2667</v>
      </c>
    </row>
    <row r="1262" customFormat="false" ht="15" hidden="false" customHeight="false" outlineLevel="0" collapsed="false">
      <c r="A1262" s="10" t="s">
        <v>4261</v>
      </c>
      <c r="B1262" s="10" t="s">
        <v>1108</v>
      </c>
      <c r="C1262" s="10" t="s">
        <v>4262</v>
      </c>
      <c r="D1262" s="10" t="s">
        <v>1136</v>
      </c>
      <c r="E1262" s="10" t="s">
        <v>119</v>
      </c>
      <c r="F1262" s="22" t="n">
        <f aca="false">Deceleration!B21</f>
        <v>267976</v>
      </c>
      <c r="G1262" s="12" t="n">
        <v>267976</v>
      </c>
      <c r="H1262" s="10" t="n">
        <f aca="false">F1262-G1262</f>
        <v>0</v>
      </c>
      <c r="I1262" s="10" t="str">
        <f aca="false">IF(ABS(H1262)&lt;=0.000001,"PASS","FAIL")</f>
        <v>PASS</v>
      </c>
      <c r="J1262" s="10" t="s">
        <v>2706</v>
      </c>
    </row>
    <row r="1263" customFormat="false" ht="15" hidden="false" customHeight="false" outlineLevel="0" collapsed="false">
      <c r="A1263" s="10" t="s">
        <v>4263</v>
      </c>
      <c r="B1263" s="10" t="s">
        <v>1108</v>
      </c>
      <c r="C1263" s="10" t="s">
        <v>4264</v>
      </c>
      <c r="D1263" s="10" t="s">
        <v>1136</v>
      </c>
      <c r="E1263" s="10" t="s">
        <v>123</v>
      </c>
      <c r="F1263" s="22" t="n">
        <f aca="false">Deceleration!B22</f>
        <v>282250</v>
      </c>
      <c r="G1263" s="12" t="n">
        <v>282250</v>
      </c>
      <c r="H1263" s="10" t="n">
        <f aca="false">F1263-G1263</f>
        <v>0</v>
      </c>
      <c r="I1263" s="10" t="str">
        <f aca="false">IF(ABS(H1263)&lt;=0.000001,"PASS","FAIL")</f>
        <v>PASS</v>
      </c>
      <c r="J1263" s="10" t="s">
        <v>2745</v>
      </c>
    </row>
    <row r="1264" customFormat="false" ht="15" hidden="false" customHeight="false" outlineLevel="0" collapsed="false">
      <c r="A1264" s="10" t="s">
        <v>4265</v>
      </c>
      <c r="B1264" s="10" t="s">
        <v>1108</v>
      </c>
      <c r="C1264" s="10" t="s">
        <v>4266</v>
      </c>
      <c r="D1264" s="10" t="s">
        <v>1136</v>
      </c>
      <c r="E1264" s="10" t="s">
        <v>127</v>
      </c>
      <c r="F1264" s="22" t="n">
        <f aca="false">Deceleration!B23</f>
        <v>299014</v>
      </c>
      <c r="G1264" s="12" t="n">
        <v>299014</v>
      </c>
      <c r="H1264" s="10" t="n">
        <f aca="false">F1264-G1264</f>
        <v>0</v>
      </c>
      <c r="I1264" s="10" t="str">
        <f aca="false">IF(ABS(H1264)&lt;=0.000001,"PASS","FAIL")</f>
        <v>PASS</v>
      </c>
      <c r="J1264" s="10" t="s">
        <v>2784</v>
      </c>
    </row>
    <row r="1265" customFormat="false" ht="15" hidden="false" customHeight="false" outlineLevel="0" collapsed="false">
      <c r="A1265" s="10" t="s">
        <v>4267</v>
      </c>
      <c r="B1265" s="10" t="s">
        <v>1108</v>
      </c>
      <c r="C1265" s="10" t="s">
        <v>4268</v>
      </c>
      <c r="D1265" s="10" t="s">
        <v>1136</v>
      </c>
      <c r="E1265" s="10" t="s">
        <v>131</v>
      </c>
      <c r="F1265" s="22" t="n">
        <f aca="false">Deceleration!B24</f>
        <v>316855</v>
      </c>
      <c r="G1265" s="12" t="n">
        <v>316855</v>
      </c>
      <c r="H1265" s="10" t="n">
        <f aca="false">F1265-G1265</f>
        <v>0</v>
      </c>
      <c r="I1265" s="10" t="str">
        <f aca="false">IF(ABS(H1265)&lt;=0.000001,"PASS","FAIL")</f>
        <v>PASS</v>
      </c>
      <c r="J1265" s="10" t="s">
        <v>2823</v>
      </c>
    </row>
    <row r="1266" customFormat="false" ht="15" hidden="false" customHeight="false" outlineLevel="0" collapsed="false">
      <c r="A1266" s="10" t="s">
        <v>4269</v>
      </c>
      <c r="B1266" s="10" t="s">
        <v>1108</v>
      </c>
      <c r="C1266" s="10" t="s">
        <v>4270</v>
      </c>
      <c r="D1266" s="10" t="s">
        <v>1136</v>
      </c>
      <c r="E1266" s="10" t="s">
        <v>135</v>
      </c>
      <c r="F1266" s="22" t="n">
        <f aca="false">Deceleration!B25</f>
        <v>333878</v>
      </c>
      <c r="G1266" s="12" t="n">
        <v>333878</v>
      </c>
      <c r="H1266" s="10" t="n">
        <f aca="false">F1266-G1266</f>
        <v>0</v>
      </c>
      <c r="I1266" s="10" t="str">
        <f aca="false">IF(ABS(H1266)&lt;=0.000001,"PASS","FAIL")</f>
        <v>PASS</v>
      </c>
      <c r="J1266" s="10" t="s">
        <v>2862</v>
      </c>
    </row>
    <row r="1267" customFormat="false" ht="15" hidden="false" customHeight="false" outlineLevel="0" collapsed="false">
      <c r="A1267" s="10" t="s">
        <v>4271</v>
      </c>
      <c r="B1267" s="10" t="s">
        <v>1108</v>
      </c>
      <c r="C1267" s="10" t="s">
        <v>4272</v>
      </c>
      <c r="D1267" s="10" t="s">
        <v>1136</v>
      </c>
      <c r="E1267" s="10" t="s">
        <v>140</v>
      </c>
      <c r="F1267" s="22" t="n">
        <f aca="false">Deceleration!B26</f>
        <v>351265</v>
      </c>
      <c r="G1267" s="12" t="n">
        <v>351265</v>
      </c>
      <c r="H1267" s="10" t="n">
        <f aca="false">F1267-G1267</f>
        <v>0</v>
      </c>
      <c r="I1267" s="10" t="str">
        <f aca="false">IF(ABS(H1267)&lt;=0.000001,"PASS","FAIL")</f>
        <v>PASS</v>
      </c>
      <c r="J1267" s="10" t="s">
        <v>2901</v>
      </c>
    </row>
    <row r="1268" customFormat="false" ht="15" hidden="false" customHeight="false" outlineLevel="0" collapsed="false">
      <c r="A1268" s="10" t="s">
        <v>4273</v>
      </c>
      <c r="B1268" s="10" t="s">
        <v>1108</v>
      </c>
      <c r="C1268" s="10" t="s">
        <v>4274</v>
      </c>
      <c r="D1268" s="10" t="s">
        <v>1136</v>
      </c>
      <c r="E1268" s="10" t="s">
        <v>145</v>
      </c>
      <c r="F1268" s="22" t="n">
        <f aca="false">Deceleration!B27</f>
        <v>364621</v>
      </c>
      <c r="G1268" s="12" t="n">
        <v>364621</v>
      </c>
      <c r="H1268" s="10" t="n">
        <f aca="false">F1268-G1268</f>
        <v>0</v>
      </c>
      <c r="I1268" s="10" t="str">
        <f aca="false">IF(ABS(H1268)&lt;=0.000001,"PASS","FAIL")</f>
        <v>PASS</v>
      </c>
      <c r="J1268" s="10" t="s">
        <v>2940</v>
      </c>
    </row>
    <row r="1269" customFormat="false" ht="15" hidden="false" customHeight="false" outlineLevel="0" collapsed="false">
      <c r="A1269" s="10" t="s">
        <v>4275</v>
      </c>
      <c r="B1269" s="10" t="s">
        <v>1109</v>
      </c>
      <c r="C1269" s="10" t="s">
        <v>4276</v>
      </c>
      <c r="D1269" s="10" t="s">
        <v>1136</v>
      </c>
      <c r="E1269" s="10" t="s">
        <v>147</v>
      </c>
      <c r="F1269" s="25" t="n">
        <f aca="false">Deceleration!H27</f>
        <v>110</v>
      </c>
      <c r="G1269" s="12" t="n">
        <v>110</v>
      </c>
      <c r="H1269" s="10" t="n">
        <f aca="false">F1269-G1269</f>
        <v>0</v>
      </c>
      <c r="I1269" s="10" t="str">
        <f aca="false">IF(ABS(H1269)&lt;=0.000001,"PASS","FAIL")</f>
        <v>PASS</v>
      </c>
      <c r="J1269" s="10" t="s">
        <v>1385</v>
      </c>
    </row>
    <row r="1270" customFormat="false" ht="15" hidden="false" customHeight="false" outlineLevel="0" collapsed="false">
      <c r="A1270" s="10" t="s">
        <v>4277</v>
      </c>
      <c r="B1270" s="10" t="s">
        <v>1108</v>
      </c>
      <c r="C1270" s="10" t="s">
        <v>4278</v>
      </c>
      <c r="D1270" s="10" t="s">
        <v>1124</v>
      </c>
      <c r="E1270" s="10" t="s">
        <v>321</v>
      </c>
      <c r="F1270" s="14" t="n">
        <f aca="false">Deceleration!B33</f>
        <v>368</v>
      </c>
      <c r="G1270" s="12" t="n">
        <v>368</v>
      </c>
      <c r="H1270" s="10" t="n">
        <f aca="false">F1270-G1270</f>
        <v>0</v>
      </c>
      <c r="I1270" s="10" t="str">
        <f aca="false">IF(ABS(H1270)&lt;=0.000001,"PASS","FAIL")</f>
        <v>PASS</v>
      </c>
      <c r="J1270" s="10" t="s">
        <v>4279</v>
      </c>
    </row>
    <row r="1271" customFormat="false" ht="15" hidden="false" customHeight="false" outlineLevel="0" collapsed="false">
      <c r="A1271" s="10" t="s">
        <v>4280</v>
      </c>
      <c r="B1271" s="10" t="s">
        <v>1108</v>
      </c>
      <c r="C1271" s="10" t="s">
        <v>4281</v>
      </c>
      <c r="D1271" s="10" t="s">
        <v>1124</v>
      </c>
      <c r="E1271" s="10" t="s">
        <v>321</v>
      </c>
      <c r="F1271" s="14" t="n">
        <f aca="false">Deceleration!D33</f>
        <v>370</v>
      </c>
      <c r="G1271" s="12" t="n">
        <v>370</v>
      </c>
      <c r="H1271" s="10" t="n">
        <f aca="false">F1271-G1271</f>
        <v>0</v>
      </c>
      <c r="I1271" s="10" t="str">
        <f aca="false">IF(ABS(H1271)&lt;=0.000001,"PASS","FAIL")</f>
        <v>PASS</v>
      </c>
      <c r="J1271" s="10" t="s">
        <v>4282</v>
      </c>
    </row>
    <row r="1272" customFormat="false" ht="15" hidden="false" customHeight="false" outlineLevel="0" collapsed="false">
      <c r="A1272" s="10" t="s">
        <v>4283</v>
      </c>
      <c r="B1272" s="10" t="s">
        <v>1108</v>
      </c>
      <c r="C1272" s="10" t="s">
        <v>4284</v>
      </c>
      <c r="D1272" s="10" t="s">
        <v>1136</v>
      </c>
      <c r="E1272" s="10" t="s">
        <v>131</v>
      </c>
      <c r="F1272" s="22" t="n">
        <f aca="false">Deceleration!C34</f>
        <v>316855</v>
      </c>
      <c r="G1272" s="12" t="n">
        <v>316855</v>
      </c>
      <c r="H1272" s="10" t="n">
        <f aca="false">F1272-G1272</f>
        <v>0</v>
      </c>
      <c r="I1272" s="10" t="str">
        <f aca="false">IF(ABS(H1272)&lt;=0.000001,"PASS","FAIL")</f>
        <v>PASS</v>
      </c>
      <c r="J1272" s="10" t="s">
        <v>972</v>
      </c>
    </row>
    <row r="1273" customFormat="false" ht="15" hidden="false" customHeight="false" outlineLevel="0" collapsed="false">
      <c r="A1273" s="10" t="s">
        <v>4285</v>
      </c>
      <c r="B1273" s="10" t="s">
        <v>1108</v>
      </c>
      <c r="C1273" s="10" t="s">
        <v>4286</v>
      </c>
      <c r="D1273" s="10" t="s">
        <v>1124</v>
      </c>
      <c r="E1273" s="10" t="s">
        <v>318</v>
      </c>
      <c r="F1273" s="14" t="n">
        <f aca="false">Deceleration!B36</f>
        <v>1466</v>
      </c>
      <c r="G1273" s="12" t="n">
        <v>1466</v>
      </c>
      <c r="H1273" s="10" t="n">
        <f aca="false">F1273-G1273</f>
        <v>0</v>
      </c>
      <c r="I1273" s="10" t="str">
        <f aca="false">IF(ABS(H1273)&lt;=0.000001,"PASS","FAIL")</f>
        <v>PASS</v>
      </c>
      <c r="J1273" s="10" t="s">
        <v>4287</v>
      </c>
    </row>
    <row r="1274" customFormat="false" ht="15" hidden="false" customHeight="false" outlineLevel="0" collapsed="false">
      <c r="A1274" s="10" t="s">
        <v>4288</v>
      </c>
      <c r="B1274" s="10" t="s">
        <v>1108</v>
      </c>
      <c r="C1274" s="10" t="s">
        <v>4289</v>
      </c>
      <c r="D1274" s="10" t="s">
        <v>1124</v>
      </c>
      <c r="E1274" s="10" t="s">
        <v>318</v>
      </c>
      <c r="F1274" s="14" t="n">
        <f aca="false">Deceleration!D36</f>
        <v>1474</v>
      </c>
      <c r="G1274" s="12" t="n">
        <v>1474</v>
      </c>
      <c r="H1274" s="10" t="n">
        <f aca="false">F1274-G1274</f>
        <v>0</v>
      </c>
      <c r="I1274" s="10" t="str">
        <f aca="false">IF(ABS(H1274)&lt;=0.000001,"PASS","FAIL")</f>
        <v>PASS</v>
      </c>
      <c r="J1274" s="10" t="s">
        <v>4290</v>
      </c>
    </row>
    <row r="1275" customFormat="false" ht="15" hidden="false" customHeight="false" outlineLevel="0" collapsed="false">
      <c r="A1275" s="10" t="s">
        <v>4291</v>
      </c>
      <c r="B1275" s="10" t="s">
        <v>1108</v>
      </c>
      <c r="C1275" s="10" t="s">
        <v>4292</v>
      </c>
      <c r="D1275" s="10" t="s">
        <v>1136</v>
      </c>
      <c r="E1275" s="10" t="s">
        <v>282</v>
      </c>
      <c r="F1275" s="22" t="n">
        <f aca="false">Deceleration!C37</f>
        <v>1231997</v>
      </c>
      <c r="G1275" s="12" t="n">
        <v>1231997</v>
      </c>
      <c r="H1275" s="10" t="n">
        <f aca="false">F1275-G1275</f>
        <v>0</v>
      </c>
      <c r="I1275" s="10" t="str">
        <f aca="false">IF(ABS(H1275)&lt;=0.000001,"PASS","FAIL")</f>
        <v>PASS</v>
      </c>
      <c r="J1275" s="10" t="s">
        <v>981</v>
      </c>
    </row>
    <row r="1276" customFormat="false" ht="15" hidden="false" customHeight="false" outlineLevel="0" collapsed="false">
      <c r="A1276" s="10" t="s">
        <v>4293</v>
      </c>
      <c r="B1276" s="10" t="s">
        <v>1108</v>
      </c>
      <c r="C1276" s="10" t="s">
        <v>4294</v>
      </c>
      <c r="D1276" s="10" t="s">
        <v>1136</v>
      </c>
      <c r="E1276" s="10" t="s">
        <v>4295</v>
      </c>
      <c r="F1276" s="22" t="n">
        <f aca="false">Deceleration!C39</f>
        <v>715886</v>
      </c>
      <c r="G1276" s="12" t="n">
        <v>715886</v>
      </c>
      <c r="H1276" s="10" t="n">
        <f aca="false">F1276-G1276</f>
        <v>0</v>
      </c>
      <c r="I1276" s="10" t="str">
        <f aca="false">IF(ABS(H1276)&lt;=0.000001,"PASS","FAIL")</f>
        <v>PASS</v>
      </c>
      <c r="J1276" s="10" t="s">
        <v>985</v>
      </c>
    </row>
    <row r="1277" customFormat="false" ht="15" hidden="false" customHeight="false" outlineLevel="0" collapsed="false">
      <c r="A1277" s="10" t="s">
        <v>4296</v>
      </c>
      <c r="B1277" s="10" t="s">
        <v>1108</v>
      </c>
      <c r="C1277" s="10" t="s">
        <v>4297</v>
      </c>
      <c r="D1277" s="10" t="s">
        <v>1136</v>
      </c>
      <c r="E1277" s="10" t="s">
        <v>4298</v>
      </c>
      <c r="F1277" s="22" t="n">
        <f aca="false">Deceleration!C40</f>
        <v>581264</v>
      </c>
      <c r="G1277" s="12" t="n">
        <v>581264</v>
      </c>
      <c r="H1277" s="10" t="n">
        <f aca="false">F1277-G1277</f>
        <v>0</v>
      </c>
      <c r="I1277" s="10" t="str">
        <f aca="false">IF(ABS(H1277)&lt;=0.000001,"PASS","FAIL")</f>
        <v>PASS</v>
      </c>
      <c r="J1277" s="10" t="s">
        <v>987</v>
      </c>
    </row>
    <row r="1278" customFormat="false" ht="15" hidden="false" customHeight="false" outlineLevel="0" collapsed="false">
      <c r="A1278" s="10" t="s">
        <v>4299</v>
      </c>
      <c r="B1278" s="10" t="s">
        <v>1108</v>
      </c>
      <c r="C1278" s="10" t="s">
        <v>4300</v>
      </c>
      <c r="D1278" s="10" t="s">
        <v>1136</v>
      </c>
      <c r="E1278" s="10" t="s">
        <v>135</v>
      </c>
      <c r="F1278" s="22" t="n">
        <f aca="false">Deceleration!C46</f>
        <v>333878</v>
      </c>
      <c r="G1278" s="12" t="n">
        <v>333878</v>
      </c>
      <c r="H1278" s="10" t="n">
        <f aca="false">F1278-G1278</f>
        <v>0</v>
      </c>
      <c r="I1278" s="10" t="str">
        <f aca="false">IF(ABS(H1278)&lt;=0.000001,"PASS","FAIL")</f>
        <v>PASS</v>
      </c>
      <c r="J1278" s="10" t="s">
        <v>999</v>
      </c>
    </row>
    <row r="1279" customFormat="false" ht="15" hidden="false" customHeight="false" outlineLevel="0" collapsed="false">
      <c r="A1279" s="10" t="s">
        <v>4301</v>
      </c>
      <c r="B1279" s="10" t="s">
        <v>1108</v>
      </c>
      <c r="C1279" s="10" t="s">
        <v>4302</v>
      </c>
      <c r="D1279" s="10" t="s">
        <v>1124</v>
      </c>
      <c r="E1279" s="10" t="s">
        <v>317</v>
      </c>
      <c r="F1279" s="14" t="n">
        <f aca="false">Deceleration!B50</f>
        <v>230</v>
      </c>
      <c r="G1279" s="12" t="n">
        <v>230</v>
      </c>
      <c r="H1279" s="10" t="n">
        <f aca="false">F1279-G1279</f>
        <v>0</v>
      </c>
      <c r="I1279" s="10" t="str">
        <f aca="false">IF(ABS(H1279)&lt;=0.000001,"PASS","FAIL")</f>
        <v>PASS</v>
      </c>
      <c r="J1279" s="10" t="s">
        <v>4303</v>
      </c>
    </row>
    <row r="1280" customFormat="false" ht="15" hidden="false" customHeight="false" outlineLevel="0" collapsed="false">
      <c r="A1280" s="10" t="s">
        <v>4304</v>
      </c>
      <c r="B1280" s="10" t="s">
        <v>1108</v>
      </c>
      <c r="C1280" s="10" t="s">
        <v>4305</v>
      </c>
      <c r="D1280" s="10" t="s">
        <v>1124</v>
      </c>
      <c r="E1280" s="10" t="s">
        <v>317</v>
      </c>
      <c r="F1280" s="14" t="n">
        <f aca="false">Deceleration!D50</f>
        <v>234</v>
      </c>
      <c r="G1280" s="12" t="n">
        <v>234</v>
      </c>
      <c r="H1280" s="10" t="n">
        <f aca="false">F1280-G1280</f>
        <v>0</v>
      </c>
      <c r="I1280" s="10" t="str">
        <f aca="false">IF(ABS(H1280)&lt;=0.000001,"PASS","FAIL")</f>
        <v>PASS</v>
      </c>
      <c r="J1280" s="10" t="s">
        <v>4306</v>
      </c>
    </row>
    <row r="1281" customFormat="false" ht="15" hidden="false" customHeight="false" outlineLevel="0" collapsed="false">
      <c r="A1281" s="10" t="s">
        <v>4307</v>
      </c>
      <c r="B1281" s="10" t="s">
        <v>1108</v>
      </c>
      <c r="C1281" s="10" t="s">
        <v>4308</v>
      </c>
      <c r="D1281" s="10" t="s">
        <v>1136</v>
      </c>
      <c r="E1281" s="10" t="s">
        <v>4309</v>
      </c>
      <c r="F1281" s="22" t="n">
        <f aca="false">Deceleration!C51</f>
        <v>110147</v>
      </c>
      <c r="G1281" s="12" t="n">
        <v>110147</v>
      </c>
      <c r="H1281" s="10" t="n">
        <f aca="false">F1281-G1281</f>
        <v>0</v>
      </c>
      <c r="I1281" s="10" t="str">
        <f aca="false">IF(ABS(H1281)&lt;=0.000001,"PASS","FAIL")</f>
        <v>PASS</v>
      </c>
      <c r="J1281" s="10" t="s">
        <v>1007</v>
      </c>
    </row>
    <row r="1282" customFormat="false" ht="15" hidden="false" customHeight="false" outlineLevel="0" collapsed="false">
      <c r="A1282" s="10" t="s">
        <v>4310</v>
      </c>
      <c r="B1282" s="10" t="s">
        <v>1108</v>
      </c>
      <c r="C1282" s="10" t="s">
        <v>4311</v>
      </c>
      <c r="D1282" s="10" t="s">
        <v>1124</v>
      </c>
      <c r="E1282" s="10" t="s">
        <v>319</v>
      </c>
      <c r="F1282" s="14" t="n">
        <f aca="false">Deceleration!B54</f>
        <v>57</v>
      </c>
      <c r="G1282" s="12" t="n">
        <v>57</v>
      </c>
      <c r="H1282" s="10" t="n">
        <f aca="false">F1282-G1282</f>
        <v>0</v>
      </c>
      <c r="I1282" s="10" t="str">
        <f aca="false">IF(ABS(H1282)&lt;=0.000001,"PASS","FAIL")</f>
        <v>PASS</v>
      </c>
      <c r="J1282" s="10" t="s">
        <v>4312</v>
      </c>
    </row>
    <row r="1283" customFormat="false" ht="15" hidden="false" customHeight="false" outlineLevel="0" collapsed="false">
      <c r="A1283" s="10" t="s">
        <v>4313</v>
      </c>
      <c r="B1283" s="10" t="s">
        <v>1108</v>
      </c>
      <c r="C1283" s="10" t="s">
        <v>4314</v>
      </c>
      <c r="D1283" s="10" t="s">
        <v>1124</v>
      </c>
      <c r="E1283" s="10" t="s">
        <v>319</v>
      </c>
      <c r="F1283" s="14" t="n">
        <f aca="false">Deceleration!D54</f>
        <v>59</v>
      </c>
      <c r="G1283" s="12" t="n">
        <v>59</v>
      </c>
      <c r="H1283" s="10" t="n">
        <f aca="false">F1283-G1283</f>
        <v>0</v>
      </c>
      <c r="I1283" s="10" t="str">
        <f aca="false">IF(ABS(H1283)&lt;=0.000001,"PASS","FAIL")</f>
        <v>PASS</v>
      </c>
      <c r="J1283" s="10" t="s">
        <v>4315</v>
      </c>
    </row>
    <row r="1284" customFormat="false" ht="15" hidden="false" customHeight="false" outlineLevel="0" collapsed="false">
      <c r="A1284" s="10" t="s">
        <v>4316</v>
      </c>
      <c r="B1284" s="10" t="s">
        <v>1108</v>
      </c>
      <c r="C1284" s="10" t="s">
        <v>4317</v>
      </c>
      <c r="D1284" s="10" t="s">
        <v>1124</v>
      </c>
      <c r="E1284" s="10" t="s">
        <v>316</v>
      </c>
      <c r="F1284" s="14" t="n">
        <f aca="false">Deceleration!B57</f>
        <v>280</v>
      </c>
      <c r="G1284" s="12" t="n">
        <v>280</v>
      </c>
      <c r="H1284" s="10" t="n">
        <f aca="false">F1284-G1284</f>
        <v>0</v>
      </c>
      <c r="I1284" s="10" t="str">
        <f aca="false">IF(ABS(H1284)&lt;=0.000001,"PASS","FAIL")</f>
        <v>PASS</v>
      </c>
      <c r="J1284" s="10" t="s">
        <v>4318</v>
      </c>
    </row>
    <row r="1285" customFormat="false" ht="15" hidden="false" customHeight="false" outlineLevel="0" collapsed="false">
      <c r="A1285" s="10" t="s">
        <v>4319</v>
      </c>
      <c r="B1285" s="10" t="s">
        <v>1108</v>
      </c>
      <c r="C1285" s="10" t="s">
        <v>4320</v>
      </c>
      <c r="D1285" s="10" t="s">
        <v>1124</v>
      </c>
      <c r="E1285" s="10" t="s">
        <v>316</v>
      </c>
      <c r="F1285" s="14" t="n">
        <f aca="false">Deceleration!D57</f>
        <v>290</v>
      </c>
      <c r="G1285" s="12" t="n">
        <v>290</v>
      </c>
      <c r="H1285" s="10" t="n">
        <f aca="false">F1285-G1285</f>
        <v>0</v>
      </c>
      <c r="I1285" s="10" t="str">
        <f aca="false">IF(ABS(H1285)&lt;=0.000001,"PASS","FAIL")</f>
        <v>PASS</v>
      </c>
      <c r="J1285" s="10" t="s">
        <v>4321</v>
      </c>
    </row>
    <row r="1286" customFormat="false" ht="15" hidden="false" customHeight="false" outlineLevel="0" collapsed="false">
      <c r="A1286" s="10" t="s">
        <v>4322</v>
      </c>
      <c r="B1286" s="10" t="s">
        <v>1108</v>
      </c>
      <c r="C1286" s="10" t="s">
        <v>4323</v>
      </c>
      <c r="D1286" s="10" t="s">
        <v>1136</v>
      </c>
      <c r="E1286" s="10" t="s">
        <v>4324</v>
      </c>
      <c r="F1286" s="22" t="n">
        <f aca="false">Deceleration!C58</f>
        <v>155122</v>
      </c>
      <c r="G1286" s="12" t="n">
        <v>155122</v>
      </c>
      <c r="H1286" s="10" t="n">
        <f aca="false">F1286-G1286</f>
        <v>0</v>
      </c>
      <c r="I1286" s="10" t="str">
        <f aca="false">IF(ABS(H1286)&lt;=0.000001,"PASS","FAIL")</f>
        <v>PASS</v>
      </c>
      <c r="J1286" s="10" t="s">
        <v>1021</v>
      </c>
    </row>
    <row r="1287" customFormat="false" ht="15" hidden="false" customHeight="false" outlineLevel="0" collapsed="false">
      <c r="A1287" s="10" t="s">
        <v>4325</v>
      </c>
      <c r="B1287" s="10" t="s">
        <v>1108</v>
      </c>
      <c r="C1287" s="10" t="s">
        <v>4326</v>
      </c>
      <c r="D1287" s="10" t="s">
        <v>1136</v>
      </c>
      <c r="E1287" s="10" t="s">
        <v>278</v>
      </c>
      <c r="F1287" s="22" t="n">
        <f aca="false">Deceleration!C61</f>
        <v>322660</v>
      </c>
      <c r="G1287" s="12" t="n">
        <v>322660</v>
      </c>
      <c r="H1287" s="10" t="n">
        <f aca="false">F1287-G1287</f>
        <v>0</v>
      </c>
      <c r="I1287" s="10" t="str">
        <f aca="false">IF(ABS(H1287)&lt;=0.000001,"PASS","FAIL")</f>
        <v>PASS</v>
      </c>
      <c r="J1287" s="10" t="s">
        <v>1026</v>
      </c>
    </row>
    <row r="1288" customFormat="false" ht="15" hidden="false" customHeight="false" outlineLevel="0" collapsed="false">
      <c r="A1288" s="10" t="s">
        <v>4327</v>
      </c>
      <c r="B1288" s="10" t="s">
        <v>1108</v>
      </c>
      <c r="C1288" s="10" t="s">
        <v>4328</v>
      </c>
      <c r="D1288" s="10" t="s">
        <v>1136</v>
      </c>
      <c r="E1288" s="10" t="s">
        <v>4329</v>
      </c>
      <c r="F1288" s="22" t="n">
        <f aca="false">Deceleration!C62</f>
        <v>173625</v>
      </c>
      <c r="G1288" s="12" t="n">
        <v>173625</v>
      </c>
      <c r="H1288" s="10" t="n">
        <f aca="false">F1288-G1288</f>
        <v>0</v>
      </c>
      <c r="I1288" s="10" t="str">
        <f aca="false">IF(ABS(H1288)&lt;=0.000001,"PASS","FAIL")</f>
        <v>PASS</v>
      </c>
      <c r="J1288" s="10" t="s">
        <v>1028</v>
      </c>
    </row>
    <row r="1289" customFormat="false" ht="15" hidden="false" customHeight="false" outlineLevel="0" collapsed="false">
      <c r="A1289" s="10" t="s">
        <v>4330</v>
      </c>
      <c r="B1289" s="10" t="s">
        <v>1108</v>
      </c>
      <c r="C1289" s="10" t="s">
        <v>4331</v>
      </c>
      <c r="D1289" s="10" t="s">
        <v>1124</v>
      </c>
      <c r="E1289" s="10" t="s">
        <v>306</v>
      </c>
      <c r="F1289" s="14" t="n">
        <f aca="false">Deceleration!B67</f>
        <v>1466</v>
      </c>
      <c r="G1289" s="12" t="n">
        <v>1466</v>
      </c>
      <c r="H1289" s="10" t="n">
        <f aca="false">F1289-G1289</f>
        <v>0</v>
      </c>
      <c r="I1289" s="10" t="str">
        <f aca="false">IF(ABS(H1289)&lt;=0.000001,"PASS","FAIL")</f>
        <v>PASS</v>
      </c>
      <c r="J1289" s="10" t="s">
        <v>4332</v>
      </c>
    </row>
    <row r="1290" customFormat="false" ht="15" hidden="false" customHeight="false" outlineLevel="0" collapsed="false">
      <c r="A1290" s="10" t="s">
        <v>4333</v>
      </c>
      <c r="B1290" s="10" t="s">
        <v>1108</v>
      </c>
      <c r="C1290" s="10" t="s">
        <v>4334</v>
      </c>
      <c r="D1290" s="10" t="s">
        <v>1124</v>
      </c>
      <c r="E1290" s="10" t="s">
        <v>306</v>
      </c>
      <c r="F1290" s="14" t="n">
        <f aca="false">Deceleration!D67</f>
        <v>1474</v>
      </c>
      <c r="G1290" s="12" t="n">
        <v>1474</v>
      </c>
      <c r="H1290" s="10" t="n">
        <f aca="false">F1290-G1290</f>
        <v>0</v>
      </c>
      <c r="I1290" s="10" t="str">
        <f aca="false">IF(ABS(H1290)&lt;=0.000001,"PASS","FAIL")</f>
        <v>PASS</v>
      </c>
      <c r="J1290" s="10" t="s">
        <v>4335</v>
      </c>
    </row>
    <row r="1291" customFormat="false" ht="15" hidden="false" customHeight="false" outlineLevel="0" collapsed="false">
      <c r="A1291" s="10" t="s">
        <v>4336</v>
      </c>
      <c r="B1291" s="10" t="s">
        <v>1108</v>
      </c>
      <c r="C1291" s="10" t="s">
        <v>4337</v>
      </c>
      <c r="D1291" s="10" t="s">
        <v>1136</v>
      </c>
      <c r="E1291" s="10" t="s">
        <v>140</v>
      </c>
      <c r="F1291" s="22" t="n">
        <f aca="false">Deceleration!C68</f>
        <v>351265</v>
      </c>
      <c r="G1291" s="12" t="n">
        <v>351265</v>
      </c>
      <c r="H1291" s="10" t="n">
        <f aca="false">F1291-G1291</f>
        <v>0</v>
      </c>
      <c r="I1291" s="10" t="str">
        <f aca="false">IF(ABS(H1291)&lt;=0.000001,"PASS","FAIL")</f>
        <v>PASS</v>
      </c>
      <c r="J1291" s="10" t="s">
        <v>1036</v>
      </c>
    </row>
    <row r="1292" customFormat="false" ht="15" hidden="false" customHeight="false" outlineLevel="0" collapsed="false">
      <c r="A1292" s="10" t="s">
        <v>4338</v>
      </c>
      <c r="B1292" s="10" t="s">
        <v>1108</v>
      </c>
      <c r="C1292" s="10" t="s">
        <v>4339</v>
      </c>
      <c r="D1292" s="10" t="s">
        <v>1124</v>
      </c>
      <c r="E1292" s="10" t="s">
        <v>144</v>
      </c>
      <c r="F1292" s="14" t="n">
        <f aca="false">Deceleration!B69</f>
        <v>354</v>
      </c>
      <c r="G1292" s="12" t="n">
        <v>354</v>
      </c>
      <c r="H1292" s="10" t="n">
        <f aca="false">F1292-G1292</f>
        <v>0</v>
      </c>
      <c r="I1292" s="10" t="str">
        <f aca="false">IF(ABS(H1292)&lt;=0.000001,"PASS","FAIL")</f>
        <v>PASS</v>
      </c>
      <c r="J1292" s="10" t="s">
        <v>4340</v>
      </c>
    </row>
    <row r="1293" customFormat="false" ht="15" hidden="false" customHeight="false" outlineLevel="0" collapsed="false">
      <c r="A1293" s="10" t="s">
        <v>4341</v>
      </c>
      <c r="B1293" s="10" t="s">
        <v>1108</v>
      </c>
      <c r="C1293" s="10" t="s">
        <v>4342</v>
      </c>
      <c r="D1293" s="10" t="s">
        <v>1124</v>
      </c>
      <c r="E1293" s="10" t="s">
        <v>144</v>
      </c>
      <c r="F1293" s="14" t="n">
        <f aca="false">Deceleration!D69</f>
        <v>356</v>
      </c>
      <c r="G1293" s="12" t="n">
        <v>356</v>
      </c>
      <c r="H1293" s="10" t="n">
        <f aca="false">F1293-G1293</f>
        <v>0</v>
      </c>
      <c r="I1293" s="10" t="str">
        <f aca="false">IF(ABS(H1293)&lt;=0.000001,"PASS","FAIL")</f>
        <v>PASS</v>
      </c>
      <c r="J1293" s="10" t="s">
        <v>4343</v>
      </c>
    </row>
    <row r="1294" customFormat="false" ht="15" hidden="false" customHeight="false" outlineLevel="0" collapsed="false">
      <c r="A1294" s="10" t="s">
        <v>4344</v>
      </c>
      <c r="B1294" s="10" t="s">
        <v>1108</v>
      </c>
      <c r="C1294" s="10" t="s">
        <v>4345</v>
      </c>
      <c r="D1294" s="10" t="s">
        <v>1124</v>
      </c>
      <c r="E1294" s="10" t="s">
        <v>305</v>
      </c>
      <c r="F1294" s="14" t="n">
        <f aca="false">Deceleration!B72</f>
        <v>185</v>
      </c>
      <c r="G1294" s="12" t="n">
        <v>185</v>
      </c>
      <c r="H1294" s="10" t="n">
        <f aca="false">F1294-G1294</f>
        <v>0</v>
      </c>
      <c r="I1294" s="10" t="str">
        <f aca="false">IF(ABS(H1294)&lt;=0.000001,"PASS","FAIL")</f>
        <v>PASS</v>
      </c>
      <c r="J1294" s="10" t="s">
        <v>4346</v>
      </c>
    </row>
    <row r="1295" customFormat="false" ht="15" hidden="false" customHeight="false" outlineLevel="0" collapsed="false">
      <c r="A1295" s="10" t="s">
        <v>4347</v>
      </c>
      <c r="B1295" s="10" t="s">
        <v>1108</v>
      </c>
      <c r="C1295" s="10" t="s">
        <v>4348</v>
      </c>
      <c r="D1295" s="10" t="s">
        <v>1124</v>
      </c>
      <c r="E1295" s="10" t="s">
        <v>305</v>
      </c>
      <c r="F1295" s="14" t="n">
        <f aca="false">Deceleration!D72</f>
        <v>191</v>
      </c>
      <c r="G1295" s="12" t="n">
        <v>191</v>
      </c>
      <c r="H1295" s="10" t="n">
        <f aca="false">F1295-G1295</f>
        <v>0</v>
      </c>
      <c r="I1295" s="10" t="str">
        <f aca="false">IF(ABS(H1295)&lt;=0.000001,"PASS","FAIL")</f>
        <v>PASS</v>
      </c>
      <c r="J1295" s="10" t="s">
        <v>4349</v>
      </c>
    </row>
    <row r="1296" customFormat="false" ht="15" hidden="false" customHeight="false" outlineLevel="0" collapsed="false">
      <c r="A1296" s="10" t="s">
        <v>4350</v>
      </c>
      <c r="B1296" s="10" t="s">
        <v>1108</v>
      </c>
      <c r="C1296" s="10" t="s">
        <v>4351</v>
      </c>
      <c r="D1296" s="10" t="s">
        <v>1136</v>
      </c>
      <c r="E1296" s="10" t="s">
        <v>190</v>
      </c>
      <c r="F1296" s="22" t="n">
        <f aca="false">Deceleration!C73</f>
        <v>49037</v>
      </c>
      <c r="G1296" s="12" t="n">
        <v>49037</v>
      </c>
      <c r="H1296" s="10" t="n">
        <f aca="false">F1296-G1296</f>
        <v>0</v>
      </c>
      <c r="I1296" s="10" t="str">
        <f aca="false">IF(ABS(H1296)&lt;=0.000001,"PASS","FAIL")</f>
        <v>PASS</v>
      </c>
      <c r="J1296" s="10" t="s">
        <v>1046</v>
      </c>
    </row>
    <row r="1297" customFormat="false" ht="15" hidden="false" customHeight="false" outlineLevel="0" collapsed="false">
      <c r="A1297" s="10" t="s">
        <v>4352</v>
      </c>
      <c r="B1297" s="10" t="s">
        <v>1108</v>
      </c>
      <c r="C1297" s="10" t="s">
        <v>4353</v>
      </c>
      <c r="D1297" s="10" t="s">
        <v>1124</v>
      </c>
      <c r="E1297" s="10" t="s">
        <v>192</v>
      </c>
      <c r="F1297" s="14" t="n">
        <f aca="false">Deceleration!B74</f>
        <v>46</v>
      </c>
      <c r="G1297" s="12" t="n">
        <v>46</v>
      </c>
      <c r="H1297" s="10" t="n">
        <f aca="false">F1297-G1297</f>
        <v>0</v>
      </c>
      <c r="I1297" s="10" t="str">
        <f aca="false">IF(ABS(H1297)&lt;=0.000001,"PASS","FAIL")</f>
        <v>PASS</v>
      </c>
      <c r="J1297" s="10" t="s">
        <v>4354</v>
      </c>
    </row>
    <row r="1298" customFormat="false" ht="15" hidden="false" customHeight="false" outlineLevel="0" collapsed="false">
      <c r="A1298" s="10" t="s">
        <v>4355</v>
      </c>
      <c r="B1298" s="10" t="s">
        <v>1108</v>
      </c>
      <c r="C1298" s="10" t="s">
        <v>4356</v>
      </c>
      <c r="D1298" s="10" t="s">
        <v>1124</v>
      </c>
      <c r="E1298" s="10" t="s">
        <v>192</v>
      </c>
      <c r="F1298" s="14" t="n">
        <f aca="false">Deceleration!D74</f>
        <v>48</v>
      </c>
      <c r="G1298" s="12" t="n">
        <v>48</v>
      </c>
      <c r="H1298" s="10" t="n">
        <f aca="false">F1298-G1298</f>
        <v>0</v>
      </c>
      <c r="I1298" s="10" t="str">
        <f aca="false">IF(ABS(H1298)&lt;=0.000001,"PASS","FAIL")</f>
        <v>PASS</v>
      </c>
      <c r="J1298" s="10" t="s">
        <v>4357</v>
      </c>
    </row>
    <row r="1299" customFormat="false" ht="15" hidden="false" customHeight="false" outlineLevel="0" collapsed="false">
      <c r="A1299" s="10" t="s">
        <v>4358</v>
      </c>
      <c r="B1299" s="10" t="s">
        <v>1108</v>
      </c>
      <c r="C1299" s="10" t="s">
        <v>4359</v>
      </c>
      <c r="D1299" s="10" t="s">
        <v>1124</v>
      </c>
      <c r="E1299" s="10" t="s">
        <v>312</v>
      </c>
      <c r="F1299" s="16" t="n">
        <f aca="false">Deceleration!B79</f>
        <v>0.15</v>
      </c>
      <c r="G1299" s="12" t="n">
        <v>0.15</v>
      </c>
      <c r="H1299" s="26" t="n">
        <f aca="false">F1299-G1299</f>
        <v>0</v>
      </c>
      <c r="I1299" s="10" t="str">
        <f aca="false">IF(ABS(H1299)&lt;=0.000001,"PASS","FAIL")</f>
        <v>PASS</v>
      </c>
      <c r="J1299" s="10" t="s">
        <v>4360</v>
      </c>
    </row>
    <row r="1300" customFormat="false" ht="15" hidden="false" customHeight="false" outlineLevel="0" collapsed="false">
      <c r="A1300" s="10" t="s">
        <v>4361</v>
      </c>
      <c r="B1300" s="10" t="s">
        <v>1108</v>
      </c>
      <c r="C1300" s="10" t="s">
        <v>4362</v>
      </c>
      <c r="D1300" s="10" t="s">
        <v>1124</v>
      </c>
      <c r="E1300" s="10" t="s">
        <v>312</v>
      </c>
      <c r="F1300" s="16" t="n">
        <f aca="false">Deceleration!D79</f>
        <v>0.15</v>
      </c>
      <c r="G1300" s="12" t="n">
        <v>0.15</v>
      </c>
      <c r="H1300" s="26" t="n">
        <f aca="false">F1300-G1300</f>
        <v>0</v>
      </c>
      <c r="I1300" s="10" t="str">
        <f aca="false">IF(ABS(H1300)&lt;=0.000001,"PASS","FAIL")</f>
        <v>PASS</v>
      </c>
      <c r="J1300" s="10" t="s">
        <v>4363</v>
      </c>
    </row>
    <row r="1301" customFormat="false" ht="15" hidden="false" customHeight="false" outlineLevel="0" collapsed="false">
      <c r="A1301" s="10" t="s">
        <v>4364</v>
      </c>
      <c r="B1301" s="10" t="s">
        <v>1110</v>
      </c>
      <c r="C1301" s="10" t="s">
        <v>4365</v>
      </c>
      <c r="D1301" s="10" t="s">
        <v>4366</v>
      </c>
      <c r="H1301" s="10" t="n">
        <f aca="false">IF(AND(Guidance_Accuracy!F7&lt;=Guidance_Accuracy!H7,Guidance_Accuracy!H7&lt;=Guidance_Accuracy!G7),0,1)</f>
        <v>0</v>
      </c>
      <c r="I1301" s="10" t="str">
        <f aca="false">IF(ABS(H1301)&lt;=0,"PASS","FAIL")</f>
        <v>PASS</v>
      </c>
      <c r="J1301" s="10" t="s">
        <v>4367</v>
      </c>
    </row>
    <row r="1302" customFormat="false" ht="15" hidden="false" customHeight="false" outlineLevel="0" collapsed="false">
      <c r="A1302" s="10" t="s">
        <v>4368</v>
      </c>
      <c r="B1302" s="10" t="s">
        <v>1110</v>
      </c>
      <c r="C1302" s="10" t="s">
        <v>4369</v>
      </c>
      <c r="D1302" s="10" t="s">
        <v>4366</v>
      </c>
      <c r="H1302" s="10" t="n">
        <f aca="false">Guidance_Accuracy!P7+Guidance_Accuracy!Q7+Guidance_Accuracy!R7-1</f>
        <v>0</v>
      </c>
      <c r="I1302" s="10" t="str">
        <f aca="false">IF(ABS(H1302)&lt;=0,"PASS","FAIL")</f>
        <v>PASS</v>
      </c>
      <c r="J1302" s="10" t="s">
        <v>4370</v>
      </c>
    </row>
    <row r="1303" customFormat="false" ht="15" hidden="false" customHeight="false" outlineLevel="0" collapsed="false">
      <c r="A1303" s="10" t="s">
        <v>4371</v>
      </c>
      <c r="B1303" s="10" t="s">
        <v>1110</v>
      </c>
      <c r="C1303" s="10" t="s">
        <v>4372</v>
      </c>
      <c r="D1303" s="10" t="s">
        <v>4366</v>
      </c>
      <c r="H1303" s="10" t="n">
        <f aca="false">IF(AND(Guidance_Accuracy!F8&lt;=Guidance_Accuracy!H8,Guidance_Accuracy!H8&lt;=Guidance_Accuracy!G8),0,1)</f>
        <v>0</v>
      </c>
      <c r="I1303" s="10" t="str">
        <f aca="false">IF(ABS(H1303)&lt;=0,"PASS","FAIL")</f>
        <v>PASS</v>
      </c>
      <c r="J1303" s="10" t="s">
        <v>4373</v>
      </c>
    </row>
    <row r="1304" customFormat="false" ht="15" hidden="false" customHeight="false" outlineLevel="0" collapsed="false">
      <c r="A1304" s="10" t="s">
        <v>4374</v>
      </c>
      <c r="B1304" s="10" t="s">
        <v>1110</v>
      </c>
      <c r="C1304" s="10" t="s">
        <v>4375</v>
      </c>
      <c r="D1304" s="10" t="s">
        <v>4366</v>
      </c>
      <c r="H1304" s="10" t="n">
        <f aca="false">Guidance_Accuracy!P8+Guidance_Accuracy!Q8+Guidance_Accuracy!R8-1</f>
        <v>0</v>
      </c>
      <c r="I1304" s="10" t="str">
        <f aca="false">IF(ABS(H1304)&lt;=0,"PASS","FAIL")</f>
        <v>PASS</v>
      </c>
      <c r="J1304" s="10" t="s">
        <v>4376</v>
      </c>
    </row>
    <row r="1305" customFormat="false" ht="15" hidden="false" customHeight="false" outlineLevel="0" collapsed="false">
      <c r="A1305" s="10" t="s">
        <v>4377</v>
      </c>
      <c r="B1305" s="10" t="s">
        <v>1110</v>
      </c>
      <c r="C1305" s="10" t="s">
        <v>4378</v>
      </c>
      <c r="D1305" s="10" t="s">
        <v>4366</v>
      </c>
      <c r="H1305" s="10" t="n">
        <f aca="false">IF(AND(Guidance_Accuracy!F9&lt;=Guidance_Accuracy!H9,Guidance_Accuracy!H9&lt;=Guidance_Accuracy!G9),0,1)</f>
        <v>0</v>
      </c>
      <c r="I1305" s="10" t="str">
        <f aca="false">IF(ABS(H1305)&lt;=0,"PASS","FAIL")</f>
        <v>PASS</v>
      </c>
      <c r="J1305" s="10" t="s">
        <v>4379</v>
      </c>
    </row>
    <row r="1306" customFormat="false" ht="15" hidden="false" customHeight="false" outlineLevel="0" collapsed="false">
      <c r="A1306" s="10" t="s">
        <v>4380</v>
      </c>
      <c r="B1306" s="10" t="s">
        <v>1110</v>
      </c>
      <c r="C1306" s="10" t="s">
        <v>4381</v>
      </c>
      <c r="D1306" s="10" t="s">
        <v>4366</v>
      </c>
      <c r="H1306" s="10" t="n">
        <f aca="false">Guidance_Accuracy!P9+Guidance_Accuracy!Q9+Guidance_Accuracy!R9-1</f>
        <v>0</v>
      </c>
      <c r="I1306" s="10" t="str">
        <f aca="false">IF(ABS(H1306)&lt;=0,"PASS","FAIL")</f>
        <v>PASS</v>
      </c>
      <c r="J1306" s="10" t="s">
        <v>4382</v>
      </c>
    </row>
    <row r="1307" customFormat="false" ht="15" hidden="false" customHeight="false" outlineLevel="0" collapsed="false">
      <c r="A1307" s="10" t="s">
        <v>4383</v>
      </c>
      <c r="B1307" s="10" t="s">
        <v>1110</v>
      </c>
      <c r="C1307" s="10" t="s">
        <v>4384</v>
      </c>
      <c r="D1307" s="10" t="s">
        <v>4366</v>
      </c>
      <c r="H1307" s="10" t="n">
        <f aca="false">IF(AND(Guidance_Accuracy!F10&lt;=Guidance_Accuracy!H10,Guidance_Accuracy!H10&lt;=Guidance_Accuracy!G10),0,1)</f>
        <v>0</v>
      </c>
      <c r="I1307" s="10" t="str">
        <f aca="false">IF(ABS(H1307)&lt;=0,"PASS","FAIL")</f>
        <v>PASS</v>
      </c>
      <c r="J1307" s="10" t="s">
        <v>4385</v>
      </c>
    </row>
    <row r="1308" customFormat="false" ht="15" hidden="false" customHeight="false" outlineLevel="0" collapsed="false">
      <c r="A1308" s="10" t="s">
        <v>4386</v>
      </c>
      <c r="B1308" s="10" t="s">
        <v>1110</v>
      </c>
      <c r="C1308" s="10" t="s">
        <v>4387</v>
      </c>
      <c r="D1308" s="10" t="s">
        <v>4366</v>
      </c>
      <c r="H1308" s="10" t="n">
        <f aca="false">Guidance_Accuracy!P10+Guidance_Accuracy!Q10+Guidance_Accuracy!R10-1</f>
        <v>0</v>
      </c>
      <c r="I1308" s="10" t="str">
        <f aca="false">IF(ABS(H1308)&lt;=0,"PASS","FAIL")</f>
        <v>PASS</v>
      </c>
      <c r="J1308" s="10" t="s">
        <v>4388</v>
      </c>
    </row>
    <row r="1309" customFormat="false" ht="15" hidden="false" customHeight="false" outlineLevel="0" collapsed="false">
      <c r="A1309" s="10" t="s">
        <v>4389</v>
      </c>
      <c r="B1309" s="10" t="s">
        <v>1110</v>
      </c>
      <c r="C1309" s="10" t="s">
        <v>4390</v>
      </c>
      <c r="D1309" s="10" t="s">
        <v>4366</v>
      </c>
      <c r="H1309" s="10" t="n">
        <f aca="false">IF(AND(Guidance_Accuracy!F11&lt;=Guidance_Accuracy!H11,Guidance_Accuracy!H11&lt;=Guidance_Accuracy!G11),0,1)</f>
        <v>0</v>
      </c>
      <c r="I1309" s="10" t="str">
        <f aca="false">IF(ABS(H1309)&lt;=0,"PASS","FAIL")</f>
        <v>PASS</v>
      </c>
      <c r="J1309" s="10" t="s">
        <v>4391</v>
      </c>
    </row>
    <row r="1310" customFormat="false" ht="15" hidden="false" customHeight="false" outlineLevel="0" collapsed="false">
      <c r="A1310" s="10" t="s">
        <v>4392</v>
      </c>
      <c r="B1310" s="10" t="s">
        <v>1110</v>
      </c>
      <c r="C1310" s="10" t="s">
        <v>4393</v>
      </c>
      <c r="D1310" s="10" t="s">
        <v>4366</v>
      </c>
      <c r="H1310" s="10" t="n">
        <f aca="false">Guidance_Accuracy!P11+Guidance_Accuracy!Q11+Guidance_Accuracy!R11-1</f>
        <v>0</v>
      </c>
      <c r="I1310" s="10" t="str">
        <f aca="false">IF(ABS(H1310)&lt;=0,"PASS","FAIL")</f>
        <v>PASS</v>
      </c>
      <c r="J1310" s="10" t="s">
        <v>4394</v>
      </c>
    </row>
    <row r="1311" customFormat="false" ht="15" hidden="false" customHeight="false" outlineLevel="0" collapsed="false">
      <c r="A1311" s="10" t="s">
        <v>4395</v>
      </c>
      <c r="B1311" s="10" t="s">
        <v>1110</v>
      </c>
      <c r="C1311" s="10" t="s">
        <v>4396</v>
      </c>
      <c r="D1311" s="10" t="s">
        <v>4366</v>
      </c>
      <c r="H1311" s="10" t="n">
        <f aca="false">IF(AND(Guidance_Accuracy!F12&lt;=Guidance_Accuracy!H12,Guidance_Accuracy!H12&lt;=Guidance_Accuracy!G12),0,1)</f>
        <v>0</v>
      </c>
      <c r="I1311" s="10" t="str">
        <f aca="false">IF(ABS(H1311)&lt;=0,"PASS","FAIL")</f>
        <v>PASS</v>
      </c>
      <c r="J1311" s="10" t="s">
        <v>4397</v>
      </c>
    </row>
    <row r="1312" customFormat="false" ht="15" hidden="false" customHeight="false" outlineLevel="0" collapsed="false">
      <c r="A1312" s="10" t="s">
        <v>4398</v>
      </c>
      <c r="B1312" s="10" t="s">
        <v>1110</v>
      </c>
      <c r="C1312" s="10" t="s">
        <v>4399</v>
      </c>
      <c r="D1312" s="10" t="s">
        <v>4366</v>
      </c>
      <c r="H1312" s="10" t="n">
        <f aca="false">Guidance_Accuracy!P12+Guidance_Accuracy!Q12+Guidance_Accuracy!R12-1</f>
        <v>0</v>
      </c>
      <c r="I1312" s="10" t="str">
        <f aca="false">IF(ABS(H1312)&lt;=0,"PASS","FAIL")</f>
        <v>PASS</v>
      </c>
      <c r="J1312" s="10" t="s">
        <v>4400</v>
      </c>
    </row>
    <row r="1313" customFormat="false" ht="15" hidden="false" customHeight="false" outlineLevel="0" collapsed="false">
      <c r="A1313" s="10" t="s">
        <v>4401</v>
      </c>
      <c r="B1313" s="10" t="s">
        <v>1110</v>
      </c>
      <c r="C1313" s="10" t="s">
        <v>4402</v>
      </c>
      <c r="D1313" s="10" t="s">
        <v>4366</v>
      </c>
      <c r="H1313" s="10" t="n">
        <f aca="false">IF(AND(Guidance_Accuracy!F13&lt;=Guidance_Accuracy!H13,Guidance_Accuracy!H13&lt;=Guidance_Accuracy!G13),0,1)</f>
        <v>0</v>
      </c>
      <c r="I1313" s="10" t="str">
        <f aca="false">IF(ABS(H1313)&lt;=0,"PASS","FAIL")</f>
        <v>PASS</v>
      </c>
      <c r="J1313" s="10" t="s">
        <v>4403</v>
      </c>
    </row>
    <row r="1314" customFormat="false" ht="15" hidden="false" customHeight="false" outlineLevel="0" collapsed="false">
      <c r="A1314" s="10" t="s">
        <v>4404</v>
      </c>
      <c r="B1314" s="10" t="s">
        <v>1110</v>
      </c>
      <c r="C1314" s="10" t="s">
        <v>4405</v>
      </c>
      <c r="D1314" s="10" t="s">
        <v>4366</v>
      </c>
      <c r="H1314" s="10" t="n">
        <f aca="false">Guidance_Accuracy!P13+Guidance_Accuracy!Q13+Guidance_Accuracy!R13-1</f>
        <v>0</v>
      </c>
      <c r="I1314" s="10" t="str">
        <f aca="false">IF(ABS(H1314)&lt;=0,"PASS","FAIL")</f>
        <v>PASS</v>
      </c>
      <c r="J1314" s="10" t="s">
        <v>4406</v>
      </c>
    </row>
    <row r="1315" customFormat="false" ht="15" hidden="false" customHeight="false" outlineLevel="0" collapsed="false">
      <c r="A1315" s="10" t="s">
        <v>4407</v>
      </c>
      <c r="B1315" s="10" t="s">
        <v>1110</v>
      </c>
      <c r="C1315" s="10" t="s">
        <v>4408</v>
      </c>
      <c r="D1315" s="10" t="s">
        <v>4366</v>
      </c>
      <c r="H1315" s="10" t="n">
        <f aca="false">IF(AND(Guidance_Accuracy!F14&lt;=Guidance_Accuracy!H14,Guidance_Accuracy!H14&lt;=Guidance_Accuracy!G14),0,1)</f>
        <v>0</v>
      </c>
      <c r="I1315" s="10" t="str">
        <f aca="false">IF(ABS(H1315)&lt;=0,"PASS","FAIL")</f>
        <v>PASS</v>
      </c>
      <c r="J1315" s="10" t="s">
        <v>4409</v>
      </c>
    </row>
    <row r="1316" customFormat="false" ht="15" hidden="false" customHeight="false" outlineLevel="0" collapsed="false">
      <c r="A1316" s="10" t="s">
        <v>4410</v>
      </c>
      <c r="B1316" s="10" t="s">
        <v>1110</v>
      </c>
      <c r="C1316" s="10" t="s">
        <v>4411</v>
      </c>
      <c r="D1316" s="10" t="s">
        <v>4366</v>
      </c>
      <c r="H1316" s="10" t="n">
        <f aca="false">Guidance_Accuracy!P14+Guidance_Accuracy!Q14+Guidance_Accuracy!R14-1</f>
        <v>0</v>
      </c>
      <c r="I1316" s="10" t="str">
        <f aca="false">IF(ABS(H1316)&lt;=0,"PASS","FAIL")</f>
        <v>PASS</v>
      </c>
      <c r="J1316" s="10" t="s">
        <v>4412</v>
      </c>
    </row>
    <row r="1317" customFormat="false" ht="15" hidden="false" customHeight="false" outlineLevel="0" collapsed="false">
      <c r="A1317" s="10" t="s">
        <v>4413</v>
      </c>
      <c r="B1317" s="10" t="s">
        <v>1110</v>
      </c>
      <c r="C1317" s="10" t="s">
        <v>4414</v>
      </c>
      <c r="D1317" s="10" t="s">
        <v>4366</v>
      </c>
      <c r="H1317" s="10" t="n">
        <f aca="false">IF(AND(Guidance_Accuracy!F15&lt;=Guidance_Accuracy!H15,Guidance_Accuracy!H15&lt;=Guidance_Accuracy!G15),0,1)</f>
        <v>0</v>
      </c>
      <c r="I1317" s="10" t="str">
        <f aca="false">IF(ABS(H1317)&lt;=0,"PASS","FAIL")</f>
        <v>PASS</v>
      </c>
      <c r="J1317" s="10" t="s">
        <v>4415</v>
      </c>
    </row>
    <row r="1318" customFormat="false" ht="15" hidden="false" customHeight="false" outlineLevel="0" collapsed="false">
      <c r="A1318" s="10" t="s">
        <v>4416</v>
      </c>
      <c r="B1318" s="10" t="s">
        <v>1110</v>
      </c>
      <c r="C1318" s="10" t="s">
        <v>4417</v>
      </c>
      <c r="D1318" s="10" t="s">
        <v>4366</v>
      </c>
      <c r="H1318" s="10" t="n">
        <f aca="false">Guidance_Accuracy!P15+Guidance_Accuracy!Q15+Guidance_Accuracy!R15-1</f>
        <v>0</v>
      </c>
      <c r="I1318" s="10" t="str">
        <f aca="false">IF(ABS(H1318)&lt;=0,"PASS","FAIL")</f>
        <v>PASS</v>
      </c>
      <c r="J1318" s="10" t="s">
        <v>4418</v>
      </c>
    </row>
    <row r="1319" customFormat="false" ht="15" hidden="false" customHeight="false" outlineLevel="0" collapsed="false">
      <c r="A1319" s="10" t="s">
        <v>4419</v>
      </c>
      <c r="B1319" s="10" t="s">
        <v>1110</v>
      </c>
      <c r="C1319" s="10" t="s">
        <v>4420</v>
      </c>
      <c r="D1319" s="10" t="s">
        <v>4366</v>
      </c>
      <c r="H1319" s="10" t="n">
        <f aca="false">IF(AND(Guidance_Accuracy!F16&lt;=Guidance_Accuracy!H16,Guidance_Accuracy!H16&lt;=Guidance_Accuracy!G16),0,1)</f>
        <v>0</v>
      </c>
      <c r="I1319" s="10" t="str">
        <f aca="false">IF(ABS(H1319)&lt;=0,"PASS","FAIL")</f>
        <v>PASS</v>
      </c>
      <c r="J1319" s="10" t="s">
        <v>4421</v>
      </c>
    </row>
    <row r="1320" customFormat="false" ht="15" hidden="false" customHeight="false" outlineLevel="0" collapsed="false">
      <c r="A1320" s="10" t="s">
        <v>4422</v>
      </c>
      <c r="B1320" s="10" t="s">
        <v>1110</v>
      </c>
      <c r="C1320" s="10" t="s">
        <v>4423</v>
      </c>
      <c r="D1320" s="10" t="s">
        <v>4366</v>
      </c>
      <c r="H1320" s="10" t="n">
        <f aca="false">Guidance_Accuracy!P16+Guidance_Accuracy!Q16+Guidance_Accuracy!R16-1</f>
        <v>0</v>
      </c>
      <c r="I1320" s="10" t="str">
        <f aca="false">IF(ABS(H1320)&lt;=0,"PASS","FAIL")</f>
        <v>PASS</v>
      </c>
      <c r="J1320" s="10" t="s">
        <v>4424</v>
      </c>
    </row>
    <row r="1321" customFormat="false" ht="15" hidden="false" customHeight="false" outlineLevel="0" collapsed="false">
      <c r="A1321" s="10" t="s">
        <v>4425</v>
      </c>
      <c r="B1321" s="10" t="s">
        <v>1110</v>
      </c>
      <c r="C1321" s="10" t="s">
        <v>4426</v>
      </c>
      <c r="D1321" s="10" t="s">
        <v>4366</v>
      </c>
      <c r="H1321" s="10" t="n">
        <f aca="false">IF(AND(Guidance_Accuracy!F17&lt;=Guidance_Accuracy!H17,Guidance_Accuracy!H17&lt;=Guidance_Accuracy!G17),0,1)</f>
        <v>0</v>
      </c>
      <c r="I1321" s="10" t="str">
        <f aca="false">IF(ABS(H1321)&lt;=0,"PASS","FAIL")</f>
        <v>PASS</v>
      </c>
      <c r="J1321" s="10" t="s">
        <v>4427</v>
      </c>
    </row>
    <row r="1322" customFormat="false" ht="15" hidden="false" customHeight="false" outlineLevel="0" collapsed="false">
      <c r="A1322" s="10" t="s">
        <v>4428</v>
      </c>
      <c r="B1322" s="10" t="s">
        <v>1110</v>
      </c>
      <c r="C1322" s="10" t="s">
        <v>4429</v>
      </c>
      <c r="D1322" s="10" t="s">
        <v>4366</v>
      </c>
      <c r="H1322" s="10" t="n">
        <f aca="false">Guidance_Accuracy!P17+Guidance_Accuracy!Q17+Guidance_Accuracy!R17-1</f>
        <v>0</v>
      </c>
      <c r="I1322" s="10" t="str">
        <f aca="false">IF(ABS(H1322)&lt;=0,"PASS","FAIL")</f>
        <v>PASS</v>
      </c>
      <c r="J1322" s="10" t="s">
        <v>4430</v>
      </c>
    </row>
    <row r="1323" customFormat="false" ht="15" hidden="false" customHeight="false" outlineLevel="0" collapsed="false">
      <c r="A1323" s="10" t="s">
        <v>4431</v>
      </c>
      <c r="B1323" s="10" t="s">
        <v>1110</v>
      </c>
      <c r="C1323" s="10" t="s">
        <v>4432</v>
      </c>
      <c r="D1323" s="10" t="s">
        <v>4366</v>
      </c>
      <c r="H1323" s="10" t="n">
        <f aca="false">IF(AND(Guidance_Accuracy!F18&lt;=Guidance_Accuracy!H18,Guidance_Accuracy!H18&lt;=Guidance_Accuracy!G18),0,1)</f>
        <v>0</v>
      </c>
      <c r="I1323" s="10" t="str">
        <f aca="false">IF(ABS(H1323)&lt;=0,"PASS","FAIL")</f>
        <v>PASS</v>
      </c>
      <c r="J1323" s="10" t="s">
        <v>4433</v>
      </c>
    </row>
    <row r="1324" customFormat="false" ht="15" hidden="false" customHeight="false" outlineLevel="0" collapsed="false">
      <c r="A1324" s="10" t="s">
        <v>4434</v>
      </c>
      <c r="B1324" s="10" t="s">
        <v>1110</v>
      </c>
      <c r="C1324" s="10" t="s">
        <v>4435</v>
      </c>
      <c r="D1324" s="10" t="s">
        <v>4366</v>
      </c>
      <c r="H1324" s="10" t="n">
        <f aca="false">Guidance_Accuracy!P18+Guidance_Accuracy!Q18+Guidance_Accuracy!R18-1</f>
        <v>0</v>
      </c>
      <c r="I1324" s="10" t="str">
        <f aca="false">IF(ABS(H1324)&lt;=0,"PASS","FAIL")</f>
        <v>PASS</v>
      </c>
      <c r="J1324" s="10" t="s">
        <v>4436</v>
      </c>
    </row>
    <row r="1325" customFormat="false" ht="15" hidden="false" customHeight="false" outlineLevel="0" collapsed="false">
      <c r="A1325" s="10" t="s">
        <v>4437</v>
      </c>
      <c r="B1325" s="10" t="s">
        <v>1110</v>
      </c>
      <c r="C1325" s="10" t="s">
        <v>4438</v>
      </c>
      <c r="D1325" s="10" t="s">
        <v>4366</v>
      </c>
      <c r="H1325" s="10" t="n">
        <f aca="false">IF(AND(Guidance_Accuracy!F19&lt;=Guidance_Accuracy!H19,Guidance_Accuracy!H19&lt;=Guidance_Accuracy!G19),0,1)</f>
        <v>0</v>
      </c>
      <c r="I1325" s="10" t="str">
        <f aca="false">IF(ABS(H1325)&lt;=0,"PASS","FAIL")</f>
        <v>PASS</v>
      </c>
      <c r="J1325" s="10" t="s">
        <v>4439</v>
      </c>
    </row>
    <row r="1326" customFormat="false" ht="15" hidden="false" customHeight="false" outlineLevel="0" collapsed="false">
      <c r="A1326" s="10" t="s">
        <v>4440</v>
      </c>
      <c r="B1326" s="10" t="s">
        <v>1110</v>
      </c>
      <c r="C1326" s="10" t="s">
        <v>4441</v>
      </c>
      <c r="D1326" s="10" t="s">
        <v>4366</v>
      </c>
      <c r="H1326" s="10" t="n">
        <f aca="false">Guidance_Accuracy!P19+Guidance_Accuracy!Q19+Guidance_Accuracy!R19-1</f>
        <v>0</v>
      </c>
      <c r="I1326" s="10" t="str">
        <f aca="false">IF(ABS(H1326)&lt;=0,"PASS","FAIL")</f>
        <v>PASS</v>
      </c>
      <c r="J1326" s="10" t="s">
        <v>4442</v>
      </c>
    </row>
    <row r="1327" customFormat="false" ht="15" hidden="false" customHeight="false" outlineLevel="0" collapsed="false">
      <c r="A1327" s="10" t="s">
        <v>4443</v>
      </c>
      <c r="B1327" s="10" t="s">
        <v>1110</v>
      </c>
      <c r="C1327" s="10" t="s">
        <v>4444</v>
      </c>
      <c r="D1327" s="10" t="s">
        <v>4366</v>
      </c>
      <c r="H1327" s="10" t="n">
        <f aca="false">IF(AND(Guidance_Accuracy!F20&lt;=Guidance_Accuracy!H20,Guidance_Accuracy!H20&lt;=Guidance_Accuracy!G20),0,1)</f>
        <v>0</v>
      </c>
      <c r="I1327" s="10" t="str">
        <f aca="false">IF(ABS(H1327)&lt;=0,"PASS","FAIL")</f>
        <v>PASS</v>
      </c>
      <c r="J1327" s="10" t="s">
        <v>4445</v>
      </c>
    </row>
    <row r="1328" customFormat="false" ht="15" hidden="false" customHeight="false" outlineLevel="0" collapsed="false">
      <c r="A1328" s="10" t="s">
        <v>4446</v>
      </c>
      <c r="B1328" s="10" t="s">
        <v>1110</v>
      </c>
      <c r="C1328" s="10" t="s">
        <v>4447</v>
      </c>
      <c r="D1328" s="10" t="s">
        <v>4366</v>
      </c>
      <c r="H1328" s="10" t="n">
        <f aca="false">Guidance_Accuracy!P20+Guidance_Accuracy!Q20+Guidance_Accuracy!R20-1</f>
        <v>0</v>
      </c>
      <c r="I1328" s="10" t="str">
        <f aca="false">IF(ABS(H1328)&lt;=0,"PASS","FAIL")</f>
        <v>PASS</v>
      </c>
      <c r="J1328" s="10" t="s">
        <v>4448</v>
      </c>
    </row>
    <row r="1329" customFormat="false" ht="15" hidden="false" customHeight="false" outlineLevel="0" collapsed="false">
      <c r="A1329" s="10" t="s">
        <v>4449</v>
      </c>
      <c r="B1329" s="10" t="s">
        <v>1110</v>
      </c>
      <c r="C1329" s="10" t="s">
        <v>4450</v>
      </c>
      <c r="D1329" s="10" t="s">
        <v>4366</v>
      </c>
      <c r="H1329" s="10" t="n">
        <f aca="false">IF(AND(Guidance_Accuracy!F21&lt;=Guidance_Accuracy!H21,Guidance_Accuracy!H21&lt;=Guidance_Accuracy!G21),0,1)</f>
        <v>0</v>
      </c>
      <c r="I1329" s="10" t="str">
        <f aca="false">IF(ABS(H1329)&lt;=0,"PASS","FAIL")</f>
        <v>PASS</v>
      </c>
      <c r="J1329" s="10" t="s">
        <v>4451</v>
      </c>
    </row>
    <row r="1330" customFormat="false" ht="15" hidden="false" customHeight="false" outlineLevel="0" collapsed="false">
      <c r="A1330" s="10" t="s">
        <v>4452</v>
      </c>
      <c r="B1330" s="10" t="s">
        <v>1110</v>
      </c>
      <c r="C1330" s="10" t="s">
        <v>4453</v>
      </c>
      <c r="D1330" s="10" t="s">
        <v>4366</v>
      </c>
      <c r="H1330" s="10" t="n">
        <f aca="false">Guidance_Accuracy!P21+Guidance_Accuracy!Q21+Guidance_Accuracy!R21-1</f>
        <v>0</v>
      </c>
      <c r="I1330" s="10" t="str">
        <f aca="false">IF(ABS(H1330)&lt;=0,"PASS","FAIL")</f>
        <v>PASS</v>
      </c>
      <c r="J1330" s="10" t="s">
        <v>4454</v>
      </c>
    </row>
    <row r="1331" customFormat="false" ht="15" hidden="false" customHeight="false" outlineLevel="0" collapsed="false">
      <c r="A1331" s="10" t="s">
        <v>4455</v>
      </c>
      <c r="B1331" s="10" t="s">
        <v>1110</v>
      </c>
      <c r="C1331" s="10" t="s">
        <v>4456</v>
      </c>
      <c r="D1331" s="10" t="s">
        <v>4366</v>
      </c>
      <c r="H1331" s="10" t="n">
        <f aca="false">IF(AND(Guidance_Accuracy!F22&lt;=Guidance_Accuracy!H22,Guidance_Accuracy!H22&lt;=Guidance_Accuracy!G22),0,1)</f>
        <v>0</v>
      </c>
      <c r="I1331" s="10" t="str">
        <f aca="false">IF(ABS(H1331)&lt;=0,"PASS","FAIL")</f>
        <v>PASS</v>
      </c>
      <c r="J1331" s="10" t="s">
        <v>4457</v>
      </c>
    </row>
    <row r="1332" customFormat="false" ht="15" hidden="false" customHeight="false" outlineLevel="0" collapsed="false">
      <c r="A1332" s="10" t="s">
        <v>4458</v>
      </c>
      <c r="B1332" s="10" t="s">
        <v>1110</v>
      </c>
      <c r="C1332" s="10" t="s">
        <v>4459</v>
      </c>
      <c r="D1332" s="10" t="s">
        <v>4366</v>
      </c>
      <c r="H1332" s="10" t="n">
        <f aca="false">Guidance_Accuracy!P22+Guidance_Accuracy!Q22+Guidance_Accuracy!R22-1</f>
        <v>0</v>
      </c>
      <c r="I1332" s="10" t="str">
        <f aca="false">IF(ABS(H1332)&lt;=0,"PASS","FAIL")</f>
        <v>PASS</v>
      </c>
      <c r="J1332" s="10" t="s">
        <v>4460</v>
      </c>
    </row>
    <row r="1333" customFormat="false" ht="15" hidden="false" customHeight="false" outlineLevel="0" collapsed="false">
      <c r="A1333" s="10" t="s">
        <v>4461</v>
      </c>
      <c r="B1333" s="10" t="s">
        <v>1110</v>
      </c>
      <c r="C1333" s="10" t="s">
        <v>4462</v>
      </c>
      <c r="D1333" s="10" t="s">
        <v>4366</v>
      </c>
      <c r="H1333" s="10" t="n">
        <f aca="false">IF(AND(Guidance_Accuracy!F23&lt;=Guidance_Accuracy!H23,Guidance_Accuracy!H23&lt;=Guidance_Accuracy!G23),0,1)</f>
        <v>0</v>
      </c>
      <c r="I1333" s="10" t="str">
        <f aca="false">IF(ABS(H1333)&lt;=0,"PASS","FAIL")</f>
        <v>PASS</v>
      </c>
      <c r="J1333" s="10" t="s">
        <v>4463</v>
      </c>
    </row>
    <row r="1334" customFormat="false" ht="15" hidden="false" customHeight="false" outlineLevel="0" collapsed="false">
      <c r="A1334" s="10" t="s">
        <v>4464</v>
      </c>
      <c r="B1334" s="10" t="s">
        <v>1110</v>
      </c>
      <c r="C1334" s="10" t="s">
        <v>4465</v>
      </c>
      <c r="D1334" s="10" t="s">
        <v>4366</v>
      </c>
      <c r="H1334" s="10" t="n">
        <f aca="false">Guidance_Accuracy!P23+Guidance_Accuracy!Q23+Guidance_Accuracy!R23-1</f>
        <v>0</v>
      </c>
      <c r="I1334" s="10" t="str">
        <f aca="false">IF(ABS(H1334)&lt;=0,"PASS","FAIL")</f>
        <v>PASS</v>
      </c>
      <c r="J1334" s="10" t="s">
        <v>4466</v>
      </c>
    </row>
    <row r="1335" customFormat="false" ht="15" hidden="false" customHeight="false" outlineLevel="0" collapsed="false">
      <c r="A1335" s="10" t="s">
        <v>4467</v>
      </c>
      <c r="B1335" s="10" t="s">
        <v>1110</v>
      </c>
      <c r="C1335" s="10" t="s">
        <v>4468</v>
      </c>
      <c r="D1335" s="10" t="s">
        <v>4366</v>
      </c>
      <c r="H1335" s="10" t="n">
        <f aca="false">IF(AND(Guidance_Accuracy!F24&lt;=Guidance_Accuracy!H24,Guidance_Accuracy!H24&lt;=Guidance_Accuracy!G24),0,1)</f>
        <v>0</v>
      </c>
      <c r="I1335" s="10" t="str">
        <f aca="false">IF(ABS(H1335)&lt;=0,"PASS","FAIL")</f>
        <v>PASS</v>
      </c>
      <c r="J1335" s="10" t="s">
        <v>4469</v>
      </c>
    </row>
    <row r="1336" customFormat="false" ht="15" hidden="false" customHeight="false" outlineLevel="0" collapsed="false">
      <c r="A1336" s="10" t="s">
        <v>4470</v>
      </c>
      <c r="B1336" s="10" t="s">
        <v>1110</v>
      </c>
      <c r="C1336" s="10" t="s">
        <v>4471</v>
      </c>
      <c r="D1336" s="10" t="s">
        <v>4366</v>
      </c>
      <c r="H1336" s="10" t="n">
        <f aca="false">Guidance_Accuracy!P24+Guidance_Accuracy!Q24+Guidance_Accuracy!R24-1</f>
        <v>0</v>
      </c>
      <c r="I1336" s="10" t="str">
        <f aca="false">IF(ABS(H1336)&lt;=0,"PASS","FAIL")</f>
        <v>PASS</v>
      </c>
      <c r="J1336" s="10" t="s">
        <v>4472</v>
      </c>
    </row>
    <row r="1337" customFormat="false" ht="15" hidden="false" customHeight="false" outlineLevel="0" collapsed="false">
      <c r="A1337" s="10" t="s">
        <v>4473</v>
      </c>
      <c r="B1337" s="10" t="s">
        <v>1110</v>
      </c>
      <c r="C1337" s="10" t="s">
        <v>4474</v>
      </c>
      <c r="D1337" s="10" t="s">
        <v>4366</v>
      </c>
      <c r="H1337" s="10" t="n">
        <f aca="false">IF(AND(Guidance_Accuracy!F25&lt;=Guidance_Accuracy!H25,Guidance_Accuracy!H25&lt;=Guidance_Accuracy!G25),0,1)</f>
        <v>0</v>
      </c>
      <c r="I1337" s="10" t="str">
        <f aca="false">IF(ABS(H1337)&lt;=0,"PASS","FAIL")</f>
        <v>PASS</v>
      </c>
      <c r="J1337" s="10" t="s">
        <v>4475</v>
      </c>
    </row>
    <row r="1338" customFormat="false" ht="15" hidden="false" customHeight="false" outlineLevel="0" collapsed="false">
      <c r="A1338" s="10" t="s">
        <v>4476</v>
      </c>
      <c r="B1338" s="10" t="s">
        <v>1110</v>
      </c>
      <c r="C1338" s="10" t="s">
        <v>4477</v>
      </c>
      <c r="D1338" s="10" t="s">
        <v>4366</v>
      </c>
      <c r="H1338" s="10" t="n">
        <f aca="false">Guidance_Accuracy!P25+Guidance_Accuracy!Q25+Guidance_Accuracy!R25-1</f>
        <v>0</v>
      </c>
      <c r="I1338" s="10" t="str">
        <f aca="false">IF(ABS(H1338)&lt;=0,"PASS","FAIL")</f>
        <v>PASS</v>
      </c>
      <c r="J1338" s="10" t="s">
        <v>4478</v>
      </c>
    </row>
    <row r="1339" customFormat="false" ht="15" hidden="false" customHeight="false" outlineLevel="0" collapsed="false">
      <c r="A1339" s="10" t="s">
        <v>4479</v>
      </c>
      <c r="B1339" s="10" t="s">
        <v>1110</v>
      </c>
      <c r="C1339" s="10" t="s">
        <v>4480</v>
      </c>
      <c r="D1339" s="10" t="s">
        <v>4366</v>
      </c>
      <c r="H1339" s="10" t="n">
        <f aca="false">IF(AND(Guidance_Accuracy!F26&lt;=Guidance_Accuracy!H26,Guidance_Accuracy!H26&lt;=Guidance_Accuracy!G26),0,1)</f>
        <v>0</v>
      </c>
      <c r="I1339" s="10" t="str">
        <f aca="false">IF(ABS(H1339)&lt;=0,"PASS","FAIL")</f>
        <v>PASS</v>
      </c>
      <c r="J1339" s="10" t="s">
        <v>4481</v>
      </c>
    </row>
    <row r="1340" customFormat="false" ht="15" hidden="false" customHeight="false" outlineLevel="0" collapsed="false">
      <c r="A1340" s="10" t="s">
        <v>4482</v>
      </c>
      <c r="B1340" s="10" t="s">
        <v>1110</v>
      </c>
      <c r="C1340" s="10" t="s">
        <v>4483</v>
      </c>
      <c r="D1340" s="10" t="s">
        <v>4366</v>
      </c>
      <c r="H1340" s="10" t="n">
        <f aca="false">Guidance_Accuracy!P26+Guidance_Accuracy!Q26+Guidance_Accuracy!R26-1</f>
        <v>0</v>
      </c>
      <c r="I1340" s="10" t="str">
        <f aca="false">IF(ABS(H1340)&lt;=0,"PASS","FAIL")</f>
        <v>PASS</v>
      </c>
      <c r="J1340" s="10" t="s">
        <v>4484</v>
      </c>
    </row>
    <row r="1341" customFormat="false" ht="15" hidden="false" customHeight="false" outlineLevel="0" collapsed="false">
      <c r="A1341" s="10" t="s">
        <v>4485</v>
      </c>
      <c r="B1341" s="10" t="s">
        <v>1110</v>
      </c>
      <c r="C1341" s="10" t="s">
        <v>4486</v>
      </c>
      <c r="D1341" s="10" t="s">
        <v>4366</v>
      </c>
      <c r="H1341" s="10" t="n">
        <f aca="false">IF(AND(Guidance_Accuracy!F32&lt;=Guidance_Accuracy!H32,Guidance_Accuracy!H32&lt;=Guidance_Accuracy!G32),0,1)</f>
        <v>0</v>
      </c>
      <c r="I1341" s="10" t="str">
        <f aca="false">IF(ABS(H1341)&lt;=0,"PASS","FAIL")</f>
        <v>PASS</v>
      </c>
      <c r="J1341" s="10" t="s">
        <v>4487</v>
      </c>
    </row>
    <row r="1342" customFormat="false" ht="15" hidden="false" customHeight="false" outlineLevel="0" collapsed="false">
      <c r="A1342" s="10" t="s">
        <v>4488</v>
      </c>
      <c r="B1342" s="10" t="s">
        <v>1110</v>
      </c>
      <c r="C1342" s="10" t="s">
        <v>4489</v>
      </c>
      <c r="D1342" s="10" t="s">
        <v>4366</v>
      </c>
      <c r="H1342" s="10" t="n">
        <f aca="false">Guidance_Accuracy!P32+Guidance_Accuracy!Q32+Guidance_Accuracy!R32-1</f>
        <v>0</v>
      </c>
      <c r="I1342" s="10" t="str">
        <f aca="false">IF(ABS(H1342)&lt;=0,"PASS","FAIL")</f>
        <v>PASS</v>
      </c>
      <c r="J1342" s="10" t="s">
        <v>4490</v>
      </c>
    </row>
    <row r="1343" customFormat="false" ht="15" hidden="false" customHeight="false" outlineLevel="0" collapsed="false">
      <c r="A1343" s="10" t="s">
        <v>4491</v>
      </c>
      <c r="B1343" s="10" t="s">
        <v>1110</v>
      </c>
      <c r="C1343" s="10" t="s">
        <v>4492</v>
      </c>
      <c r="D1343" s="10" t="s">
        <v>4366</v>
      </c>
      <c r="H1343" s="10" t="n">
        <f aca="false">IF(AND(Guidance_Accuracy!F33&lt;=Guidance_Accuracy!H33,Guidance_Accuracy!H33&lt;=Guidance_Accuracy!G33),0,1)</f>
        <v>0</v>
      </c>
      <c r="I1343" s="10" t="str">
        <f aca="false">IF(ABS(H1343)&lt;=0,"PASS","FAIL")</f>
        <v>PASS</v>
      </c>
      <c r="J1343" s="10" t="s">
        <v>4493</v>
      </c>
    </row>
    <row r="1344" customFormat="false" ht="15" hidden="false" customHeight="false" outlineLevel="0" collapsed="false">
      <c r="A1344" s="10" t="s">
        <v>4494</v>
      </c>
      <c r="B1344" s="10" t="s">
        <v>1110</v>
      </c>
      <c r="C1344" s="10" t="s">
        <v>4495</v>
      </c>
      <c r="D1344" s="10" t="s">
        <v>4366</v>
      </c>
      <c r="H1344" s="10" t="n">
        <f aca="false">Guidance_Accuracy!P33+Guidance_Accuracy!Q33+Guidance_Accuracy!R33-1</f>
        <v>0</v>
      </c>
      <c r="I1344" s="10" t="str">
        <f aca="false">IF(ABS(H1344)&lt;=0,"PASS","FAIL")</f>
        <v>PASS</v>
      </c>
      <c r="J1344" s="10" t="s">
        <v>4496</v>
      </c>
    </row>
    <row r="1345" customFormat="false" ht="15" hidden="false" customHeight="false" outlineLevel="0" collapsed="false">
      <c r="A1345" s="10" t="s">
        <v>4497</v>
      </c>
      <c r="B1345" s="10" t="s">
        <v>1110</v>
      </c>
      <c r="C1345" s="10" t="s">
        <v>4498</v>
      </c>
      <c r="D1345" s="10" t="s">
        <v>4366</v>
      </c>
      <c r="H1345" s="10" t="n">
        <f aca="false">IF(AND(Guidance_Accuracy!F34&lt;=Guidance_Accuracy!H34,Guidance_Accuracy!H34&lt;=Guidance_Accuracy!G34),0,1)</f>
        <v>0</v>
      </c>
      <c r="I1345" s="10" t="str">
        <f aca="false">IF(ABS(H1345)&lt;=0,"PASS","FAIL")</f>
        <v>PASS</v>
      </c>
      <c r="J1345" s="10" t="s">
        <v>4499</v>
      </c>
    </row>
    <row r="1346" customFormat="false" ht="15" hidden="false" customHeight="false" outlineLevel="0" collapsed="false">
      <c r="A1346" s="10" t="s">
        <v>4500</v>
      </c>
      <c r="B1346" s="10" t="s">
        <v>1110</v>
      </c>
      <c r="C1346" s="10" t="s">
        <v>4501</v>
      </c>
      <c r="D1346" s="10" t="s">
        <v>4366</v>
      </c>
      <c r="H1346" s="10" t="n">
        <f aca="false">Guidance_Accuracy!P34+Guidance_Accuracy!Q34+Guidance_Accuracy!R34-1</f>
        <v>0</v>
      </c>
      <c r="I1346" s="10" t="str">
        <f aca="false">IF(ABS(H1346)&lt;=0,"PASS","FAIL")</f>
        <v>PASS</v>
      </c>
      <c r="J1346" s="10" t="s">
        <v>4502</v>
      </c>
    </row>
    <row r="1347" customFormat="false" ht="15" hidden="false" customHeight="false" outlineLevel="0" collapsed="false">
      <c r="A1347" s="10" t="s">
        <v>4503</v>
      </c>
      <c r="B1347" s="10" t="s">
        <v>1110</v>
      </c>
      <c r="C1347" s="10" t="s">
        <v>4504</v>
      </c>
      <c r="D1347" s="10" t="s">
        <v>4366</v>
      </c>
      <c r="H1347" s="10" t="n">
        <f aca="false">IF(AND(Guidance_Accuracy!F35&lt;=Guidance_Accuracy!H35,Guidance_Accuracy!H35&lt;=Guidance_Accuracy!G35),0,1)</f>
        <v>0</v>
      </c>
      <c r="I1347" s="10" t="str">
        <f aca="false">IF(ABS(H1347)&lt;=0,"PASS","FAIL")</f>
        <v>PASS</v>
      </c>
      <c r="J1347" s="10" t="s">
        <v>4505</v>
      </c>
    </row>
    <row r="1348" customFormat="false" ht="15" hidden="false" customHeight="false" outlineLevel="0" collapsed="false">
      <c r="A1348" s="10" t="s">
        <v>4506</v>
      </c>
      <c r="B1348" s="10" t="s">
        <v>1110</v>
      </c>
      <c r="C1348" s="10" t="s">
        <v>4507</v>
      </c>
      <c r="D1348" s="10" t="s">
        <v>4366</v>
      </c>
      <c r="H1348" s="10" t="n">
        <f aca="false">Guidance_Accuracy!P35+Guidance_Accuracy!Q35+Guidance_Accuracy!R35-1</f>
        <v>0</v>
      </c>
      <c r="I1348" s="10" t="str">
        <f aca="false">IF(ABS(H1348)&lt;=0,"PASS","FAIL")</f>
        <v>PASS</v>
      </c>
      <c r="J1348" s="10" t="s">
        <v>4508</v>
      </c>
    </row>
    <row r="1349" customFormat="false" ht="15" hidden="false" customHeight="false" outlineLevel="0" collapsed="false">
      <c r="A1349" s="10" t="s">
        <v>4509</v>
      </c>
      <c r="B1349" s="10" t="s">
        <v>1110</v>
      </c>
      <c r="C1349" s="10" t="s">
        <v>4510</v>
      </c>
      <c r="D1349" s="10" t="s">
        <v>4366</v>
      </c>
      <c r="H1349" s="10" t="n">
        <f aca="false">IF(AND(Guidance_Accuracy!F36&lt;=Guidance_Accuracy!H36,Guidance_Accuracy!H36&lt;=Guidance_Accuracy!G36),0,1)</f>
        <v>0</v>
      </c>
      <c r="I1349" s="10" t="str">
        <f aca="false">IF(ABS(H1349)&lt;=0,"PASS","FAIL")</f>
        <v>PASS</v>
      </c>
      <c r="J1349" s="10" t="s">
        <v>4511</v>
      </c>
    </row>
    <row r="1350" customFormat="false" ht="15" hidden="false" customHeight="false" outlineLevel="0" collapsed="false">
      <c r="A1350" s="10" t="s">
        <v>4512</v>
      </c>
      <c r="B1350" s="10" t="s">
        <v>1110</v>
      </c>
      <c r="C1350" s="10" t="s">
        <v>4513</v>
      </c>
      <c r="D1350" s="10" t="s">
        <v>4366</v>
      </c>
      <c r="H1350" s="10" t="n">
        <f aca="false">Guidance_Accuracy!P36+Guidance_Accuracy!Q36+Guidance_Accuracy!R36-1</f>
        <v>0</v>
      </c>
      <c r="I1350" s="10" t="str">
        <f aca="false">IF(ABS(H1350)&lt;=0,"PASS","FAIL")</f>
        <v>PASS</v>
      </c>
      <c r="J1350" s="10" t="s">
        <v>4514</v>
      </c>
    </row>
    <row r="1351" customFormat="false" ht="15" hidden="false" customHeight="false" outlineLevel="0" collapsed="false">
      <c r="A1351" s="10" t="s">
        <v>4515</v>
      </c>
      <c r="B1351" s="10" t="s">
        <v>1110</v>
      </c>
      <c r="C1351" s="10" t="s">
        <v>4516</v>
      </c>
      <c r="D1351" s="10" t="s">
        <v>4366</v>
      </c>
      <c r="H1351" s="10" t="n">
        <f aca="false">IF(AND(Guidance_Accuracy!F37&lt;=Guidance_Accuracy!H37,Guidance_Accuracy!H37&lt;=Guidance_Accuracy!G37),0,1)</f>
        <v>0</v>
      </c>
      <c r="I1351" s="10" t="str">
        <f aca="false">IF(ABS(H1351)&lt;=0,"PASS","FAIL")</f>
        <v>PASS</v>
      </c>
      <c r="J1351" s="10" t="s">
        <v>4517</v>
      </c>
    </row>
    <row r="1352" customFormat="false" ht="15" hidden="false" customHeight="false" outlineLevel="0" collapsed="false">
      <c r="A1352" s="10" t="s">
        <v>4518</v>
      </c>
      <c r="B1352" s="10" t="s">
        <v>1110</v>
      </c>
      <c r="C1352" s="10" t="s">
        <v>4519</v>
      </c>
      <c r="D1352" s="10" t="s">
        <v>4366</v>
      </c>
      <c r="H1352" s="10" t="n">
        <f aca="false">Guidance_Accuracy!P37+Guidance_Accuracy!Q37+Guidance_Accuracy!R37-1</f>
        <v>0</v>
      </c>
      <c r="I1352" s="10" t="str">
        <f aca="false">IF(ABS(H1352)&lt;=0,"PASS","FAIL")</f>
        <v>PASS</v>
      </c>
      <c r="J1352" s="10" t="s">
        <v>4520</v>
      </c>
    </row>
    <row r="1353" customFormat="false" ht="15" hidden="false" customHeight="false" outlineLevel="0" collapsed="false">
      <c r="A1353" s="10" t="s">
        <v>4521</v>
      </c>
      <c r="B1353" s="10" t="s">
        <v>1110</v>
      </c>
      <c r="C1353" s="10" t="s">
        <v>4522</v>
      </c>
      <c r="D1353" s="10" t="s">
        <v>4366</v>
      </c>
      <c r="H1353" s="10" t="n">
        <f aca="false">IF(AND(Guidance_Accuracy!F38&lt;=Guidance_Accuracy!H38,Guidance_Accuracy!H38&lt;=Guidance_Accuracy!G38),0,1)</f>
        <v>0</v>
      </c>
      <c r="I1353" s="10" t="str">
        <f aca="false">IF(ABS(H1353)&lt;=0,"PASS","FAIL")</f>
        <v>PASS</v>
      </c>
      <c r="J1353" s="10" t="s">
        <v>4523</v>
      </c>
    </row>
    <row r="1354" customFormat="false" ht="15" hidden="false" customHeight="false" outlineLevel="0" collapsed="false">
      <c r="A1354" s="10" t="s">
        <v>4524</v>
      </c>
      <c r="B1354" s="10" t="s">
        <v>1110</v>
      </c>
      <c r="C1354" s="10" t="s">
        <v>4525</v>
      </c>
      <c r="D1354" s="10" t="s">
        <v>4366</v>
      </c>
      <c r="H1354" s="10" t="n">
        <f aca="false">Guidance_Accuracy!P38+Guidance_Accuracy!Q38+Guidance_Accuracy!R38-1</f>
        <v>0</v>
      </c>
      <c r="I1354" s="10" t="str">
        <f aca="false">IF(ABS(H1354)&lt;=0,"PASS","FAIL")</f>
        <v>PASS</v>
      </c>
      <c r="J1354" s="10" t="s">
        <v>4526</v>
      </c>
    </row>
    <row r="1355" customFormat="false" ht="15" hidden="false" customHeight="false" outlineLevel="0" collapsed="false">
      <c r="A1355" s="10" t="s">
        <v>4527</v>
      </c>
      <c r="B1355" s="10" t="s">
        <v>1110</v>
      </c>
      <c r="C1355" s="10" t="s">
        <v>4528</v>
      </c>
      <c r="D1355" s="10" t="s">
        <v>4366</v>
      </c>
      <c r="H1355" s="10" t="n">
        <f aca="false">IF(AND(Guidance_Accuracy!F39&lt;=Guidance_Accuracy!H39,Guidance_Accuracy!H39&lt;=Guidance_Accuracy!G39),0,1)</f>
        <v>0</v>
      </c>
      <c r="I1355" s="10" t="str">
        <f aca="false">IF(ABS(H1355)&lt;=0,"PASS","FAIL")</f>
        <v>PASS</v>
      </c>
      <c r="J1355" s="10" t="s">
        <v>4529</v>
      </c>
    </row>
    <row r="1356" customFormat="false" ht="15" hidden="false" customHeight="false" outlineLevel="0" collapsed="false">
      <c r="A1356" s="10" t="s">
        <v>4530</v>
      </c>
      <c r="B1356" s="10" t="s">
        <v>1110</v>
      </c>
      <c r="C1356" s="10" t="s">
        <v>4531</v>
      </c>
      <c r="D1356" s="10" t="s">
        <v>4366</v>
      </c>
      <c r="H1356" s="10" t="n">
        <f aca="false">Guidance_Accuracy!P39+Guidance_Accuracy!Q39+Guidance_Accuracy!R39-1</f>
        <v>0</v>
      </c>
      <c r="I1356" s="10" t="str">
        <f aca="false">IF(ABS(H1356)&lt;=0,"PASS","FAIL")</f>
        <v>PASS</v>
      </c>
      <c r="J1356" s="10" t="s">
        <v>4532</v>
      </c>
    </row>
    <row r="1357" customFormat="false" ht="15" hidden="false" customHeight="false" outlineLevel="0" collapsed="false">
      <c r="A1357" s="10" t="s">
        <v>4533</v>
      </c>
      <c r="B1357" s="10" t="s">
        <v>1110</v>
      </c>
      <c r="C1357" s="10" t="s">
        <v>4534</v>
      </c>
      <c r="D1357" s="10" t="s">
        <v>4366</v>
      </c>
      <c r="H1357" s="10" t="n">
        <f aca="false">IF(AND(Guidance_Accuracy!F40&lt;=Guidance_Accuracy!H40,Guidance_Accuracy!H40&lt;=Guidance_Accuracy!G40),0,1)</f>
        <v>0</v>
      </c>
      <c r="I1357" s="10" t="str">
        <f aca="false">IF(ABS(H1357)&lt;=0,"PASS","FAIL")</f>
        <v>PASS</v>
      </c>
      <c r="J1357" s="10" t="s">
        <v>4535</v>
      </c>
    </row>
    <row r="1358" customFormat="false" ht="15" hidden="false" customHeight="false" outlineLevel="0" collapsed="false">
      <c r="A1358" s="10" t="s">
        <v>4536</v>
      </c>
      <c r="B1358" s="10" t="s">
        <v>1110</v>
      </c>
      <c r="C1358" s="10" t="s">
        <v>4537</v>
      </c>
      <c r="D1358" s="10" t="s">
        <v>4366</v>
      </c>
      <c r="H1358" s="10" t="n">
        <f aca="false">Guidance_Accuracy!P40+Guidance_Accuracy!Q40+Guidance_Accuracy!R40-1</f>
        <v>0</v>
      </c>
      <c r="I1358" s="10" t="str">
        <f aca="false">IF(ABS(H1358)&lt;=0,"PASS","FAIL")</f>
        <v>PASS</v>
      </c>
      <c r="J1358" s="10" t="s">
        <v>4538</v>
      </c>
    </row>
    <row r="1359" customFormat="false" ht="15" hidden="false" customHeight="false" outlineLevel="0" collapsed="false">
      <c r="A1359" s="10" t="s">
        <v>4539</v>
      </c>
      <c r="B1359" s="10" t="s">
        <v>1110</v>
      </c>
      <c r="C1359" s="10" t="s">
        <v>4540</v>
      </c>
      <c r="D1359" s="10" t="s">
        <v>4366</v>
      </c>
      <c r="H1359" s="10" t="n">
        <f aca="false">IF(AND(Guidance_Accuracy!F41&lt;=Guidance_Accuracy!H41,Guidance_Accuracy!H41&lt;=Guidance_Accuracy!G41),0,1)</f>
        <v>0</v>
      </c>
      <c r="I1359" s="10" t="str">
        <f aca="false">IF(ABS(H1359)&lt;=0,"PASS","FAIL")</f>
        <v>PASS</v>
      </c>
      <c r="J1359" s="10" t="s">
        <v>4541</v>
      </c>
    </row>
    <row r="1360" customFormat="false" ht="15" hidden="false" customHeight="false" outlineLevel="0" collapsed="false">
      <c r="A1360" s="10" t="s">
        <v>4542</v>
      </c>
      <c r="B1360" s="10" t="s">
        <v>1110</v>
      </c>
      <c r="C1360" s="10" t="s">
        <v>4543</v>
      </c>
      <c r="D1360" s="10" t="s">
        <v>4366</v>
      </c>
      <c r="H1360" s="10" t="n">
        <f aca="false">Guidance_Accuracy!P41+Guidance_Accuracy!Q41+Guidance_Accuracy!R41-1</f>
        <v>0</v>
      </c>
      <c r="I1360" s="10" t="str">
        <f aca="false">IF(ABS(H1360)&lt;=0,"PASS","FAIL")</f>
        <v>PASS</v>
      </c>
      <c r="J1360" s="10" t="s">
        <v>4544</v>
      </c>
    </row>
    <row r="1361" customFormat="false" ht="15" hidden="false" customHeight="false" outlineLevel="0" collapsed="false">
      <c r="A1361" s="10" t="s">
        <v>4545</v>
      </c>
      <c r="B1361" s="10" t="s">
        <v>1110</v>
      </c>
      <c r="C1361" s="10" t="s">
        <v>4546</v>
      </c>
      <c r="D1361" s="10" t="s">
        <v>4366</v>
      </c>
      <c r="H1361" s="10" t="n">
        <f aca="false">IF(AND(Guidance_Accuracy!F42&lt;=Guidance_Accuracy!H42,Guidance_Accuracy!H42&lt;=Guidance_Accuracy!G42),0,1)</f>
        <v>0</v>
      </c>
      <c r="I1361" s="10" t="str">
        <f aca="false">IF(ABS(H1361)&lt;=0,"PASS","FAIL")</f>
        <v>PASS</v>
      </c>
      <c r="J1361" s="10" t="s">
        <v>4547</v>
      </c>
    </row>
    <row r="1362" customFormat="false" ht="15" hidden="false" customHeight="false" outlineLevel="0" collapsed="false">
      <c r="A1362" s="10" t="s">
        <v>4548</v>
      </c>
      <c r="B1362" s="10" t="s">
        <v>1110</v>
      </c>
      <c r="C1362" s="10" t="s">
        <v>4549</v>
      </c>
      <c r="D1362" s="10" t="s">
        <v>4366</v>
      </c>
      <c r="H1362" s="10" t="n">
        <f aca="false">Guidance_Accuracy!P42+Guidance_Accuracy!Q42+Guidance_Accuracy!R42-1</f>
        <v>0</v>
      </c>
      <c r="I1362" s="10" t="str">
        <f aca="false">IF(ABS(H1362)&lt;=0,"PASS","FAIL")</f>
        <v>PASS</v>
      </c>
      <c r="J1362" s="10" t="s">
        <v>4550</v>
      </c>
    </row>
    <row r="1363" customFormat="false" ht="15" hidden="false" customHeight="false" outlineLevel="0" collapsed="false">
      <c r="A1363" s="10" t="s">
        <v>4551</v>
      </c>
      <c r="B1363" s="10" t="s">
        <v>1110</v>
      </c>
      <c r="C1363" s="10" t="s">
        <v>4552</v>
      </c>
      <c r="D1363" s="10" t="s">
        <v>4366</v>
      </c>
      <c r="H1363" s="10" t="n">
        <f aca="false">IF(AND(Guidance_Accuracy!F43&lt;=Guidance_Accuracy!H43,Guidance_Accuracy!H43&lt;=Guidance_Accuracy!G43),0,1)</f>
        <v>0</v>
      </c>
      <c r="I1363" s="10" t="str">
        <f aca="false">IF(ABS(H1363)&lt;=0,"PASS","FAIL")</f>
        <v>PASS</v>
      </c>
      <c r="J1363" s="10" t="s">
        <v>4553</v>
      </c>
    </row>
    <row r="1364" customFormat="false" ht="15" hidden="false" customHeight="false" outlineLevel="0" collapsed="false">
      <c r="A1364" s="10" t="s">
        <v>4554</v>
      </c>
      <c r="B1364" s="10" t="s">
        <v>1110</v>
      </c>
      <c r="C1364" s="10" t="s">
        <v>4555</v>
      </c>
      <c r="D1364" s="10" t="s">
        <v>4366</v>
      </c>
      <c r="H1364" s="10" t="n">
        <f aca="false">Guidance_Accuracy!P43+Guidance_Accuracy!Q43+Guidance_Accuracy!R43-1</f>
        <v>0</v>
      </c>
      <c r="I1364" s="10" t="str">
        <f aca="false">IF(ABS(H1364)&lt;=0,"PASS","FAIL")</f>
        <v>PASS</v>
      </c>
      <c r="J1364" s="10" t="s">
        <v>4556</v>
      </c>
    </row>
    <row r="1365" customFormat="false" ht="15" hidden="false" customHeight="false" outlineLevel="0" collapsed="false">
      <c r="A1365" s="10" t="s">
        <v>4557</v>
      </c>
      <c r="B1365" s="10" t="s">
        <v>1110</v>
      </c>
      <c r="C1365" s="10" t="s">
        <v>4558</v>
      </c>
      <c r="D1365" s="10" t="s">
        <v>4366</v>
      </c>
      <c r="H1365" s="10" t="n">
        <f aca="false">IF(AND(Guidance_Accuracy!F44&lt;=Guidance_Accuracy!H44,Guidance_Accuracy!H44&lt;=Guidance_Accuracy!G44),0,1)</f>
        <v>0</v>
      </c>
      <c r="I1365" s="10" t="str">
        <f aca="false">IF(ABS(H1365)&lt;=0,"PASS","FAIL")</f>
        <v>PASS</v>
      </c>
      <c r="J1365" s="10" t="s">
        <v>4559</v>
      </c>
    </row>
    <row r="1366" customFormat="false" ht="15" hidden="false" customHeight="false" outlineLevel="0" collapsed="false">
      <c r="A1366" s="10" t="s">
        <v>4560</v>
      </c>
      <c r="B1366" s="10" t="s">
        <v>1110</v>
      </c>
      <c r="C1366" s="10" t="s">
        <v>4561</v>
      </c>
      <c r="D1366" s="10" t="s">
        <v>4366</v>
      </c>
      <c r="H1366" s="10" t="n">
        <f aca="false">Guidance_Accuracy!P44+Guidance_Accuracy!Q44+Guidance_Accuracy!R44-1</f>
        <v>0</v>
      </c>
      <c r="I1366" s="10" t="str">
        <f aca="false">IF(ABS(H1366)&lt;=0,"PASS","FAIL")</f>
        <v>PASS</v>
      </c>
      <c r="J1366" s="10" t="s">
        <v>4562</v>
      </c>
    </row>
    <row r="1367" customFormat="false" ht="15" hidden="false" customHeight="false" outlineLevel="0" collapsed="false">
      <c r="A1367" s="10" t="s">
        <v>4563</v>
      </c>
      <c r="B1367" s="10" t="s">
        <v>1110</v>
      </c>
      <c r="C1367" s="10" t="s">
        <v>4564</v>
      </c>
      <c r="D1367" s="10" t="s">
        <v>4366</v>
      </c>
      <c r="H1367" s="10" t="n">
        <f aca="false">IF(AND(Guidance_Accuracy!F45&lt;=Guidance_Accuracy!H45,Guidance_Accuracy!H45&lt;=Guidance_Accuracy!G45),0,1)</f>
        <v>0</v>
      </c>
      <c r="I1367" s="10" t="str">
        <f aca="false">IF(ABS(H1367)&lt;=0,"PASS","FAIL")</f>
        <v>PASS</v>
      </c>
      <c r="J1367" s="10" t="s">
        <v>4565</v>
      </c>
    </row>
    <row r="1368" customFormat="false" ht="15" hidden="false" customHeight="false" outlineLevel="0" collapsed="false">
      <c r="A1368" s="10" t="s">
        <v>4566</v>
      </c>
      <c r="B1368" s="10" t="s">
        <v>1110</v>
      </c>
      <c r="C1368" s="10" t="s">
        <v>4567</v>
      </c>
      <c r="D1368" s="10" t="s">
        <v>4366</v>
      </c>
      <c r="H1368" s="10" t="n">
        <f aca="false">Guidance_Accuracy!P45+Guidance_Accuracy!Q45+Guidance_Accuracy!R45-1</f>
        <v>0</v>
      </c>
      <c r="I1368" s="10" t="str">
        <f aca="false">IF(ABS(H1368)&lt;=0,"PASS","FAIL")</f>
        <v>PASS</v>
      </c>
      <c r="J1368" s="10" t="s">
        <v>4568</v>
      </c>
    </row>
    <row r="1369" customFormat="false" ht="15" hidden="false" customHeight="false" outlineLevel="0" collapsed="false">
      <c r="A1369" s="10" t="s">
        <v>4569</v>
      </c>
      <c r="B1369" s="10" t="s">
        <v>1110</v>
      </c>
      <c r="C1369" s="10" t="s">
        <v>4570</v>
      </c>
      <c r="D1369" s="10" t="s">
        <v>4366</v>
      </c>
      <c r="H1369" s="10" t="n">
        <f aca="false">IF(AND(Guidance_Accuracy!F46&lt;=Guidance_Accuracy!H46,Guidance_Accuracy!H46&lt;=Guidance_Accuracy!G46),0,1)</f>
        <v>0</v>
      </c>
      <c r="I1369" s="10" t="str">
        <f aca="false">IF(ABS(H1369)&lt;=0,"PASS","FAIL")</f>
        <v>PASS</v>
      </c>
      <c r="J1369" s="10" t="s">
        <v>4571</v>
      </c>
    </row>
    <row r="1370" customFormat="false" ht="15" hidden="false" customHeight="false" outlineLevel="0" collapsed="false">
      <c r="A1370" s="10" t="s">
        <v>4572</v>
      </c>
      <c r="B1370" s="10" t="s">
        <v>1110</v>
      </c>
      <c r="C1370" s="10" t="s">
        <v>4573</v>
      </c>
      <c r="D1370" s="10" t="s">
        <v>4366</v>
      </c>
      <c r="H1370" s="10" t="n">
        <f aca="false">Guidance_Accuracy!P46+Guidance_Accuracy!Q46+Guidance_Accuracy!R46-1</f>
        <v>0</v>
      </c>
      <c r="I1370" s="10" t="str">
        <f aca="false">IF(ABS(H1370)&lt;=0,"PASS","FAIL")</f>
        <v>PASS</v>
      </c>
      <c r="J1370" s="10" t="s">
        <v>4574</v>
      </c>
    </row>
    <row r="1371" customFormat="false" ht="15" hidden="false" customHeight="false" outlineLevel="0" collapsed="false">
      <c r="A1371" s="10" t="s">
        <v>4575</v>
      </c>
      <c r="B1371" s="10" t="s">
        <v>1110</v>
      </c>
      <c r="C1371" s="10" t="s">
        <v>4576</v>
      </c>
      <c r="D1371" s="10" t="s">
        <v>4366</v>
      </c>
      <c r="H1371" s="10" t="n">
        <f aca="false">IF(AND(Guidance_Accuracy!F47&lt;=Guidance_Accuracy!H47,Guidance_Accuracy!H47&lt;=Guidance_Accuracy!G47),0,1)</f>
        <v>0</v>
      </c>
      <c r="I1371" s="10" t="str">
        <f aca="false">IF(ABS(H1371)&lt;=0,"PASS","FAIL")</f>
        <v>PASS</v>
      </c>
      <c r="J1371" s="10" t="s">
        <v>4577</v>
      </c>
    </row>
    <row r="1372" customFormat="false" ht="15" hidden="false" customHeight="false" outlineLevel="0" collapsed="false">
      <c r="A1372" s="10" t="s">
        <v>4578</v>
      </c>
      <c r="B1372" s="10" t="s">
        <v>1110</v>
      </c>
      <c r="C1372" s="10" t="s">
        <v>4579</v>
      </c>
      <c r="D1372" s="10" t="s">
        <v>4366</v>
      </c>
      <c r="H1372" s="10" t="n">
        <f aca="false">Guidance_Accuracy!P47+Guidance_Accuracy!Q47+Guidance_Accuracy!R47-1</f>
        <v>0</v>
      </c>
      <c r="I1372" s="10" t="str">
        <f aca="false">IF(ABS(H1372)&lt;=0,"PASS","FAIL")</f>
        <v>PASS</v>
      </c>
      <c r="J1372" s="10" t="s">
        <v>4580</v>
      </c>
    </row>
    <row r="1373" customFormat="false" ht="15" hidden="false" customHeight="false" outlineLevel="0" collapsed="false">
      <c r="A1373" s="10" t="s">
        <v>4581</v>
      </c>
      <c r="B1373" s="10" t="s">
        <v>1110</v>
      </c>
      <c r="C1373" s="10" t="s">
        <v>4582</v>
      </c>
      <c r="D1373" s="10" t="s">
        <v>4366</v>
      </c>
      <c r="H1373" s="10" t="n">
        <f aca="false">IF(AND(Guidance_Accuracy!F48&lt;=Guidance_Accuracy!H48,Guidance_Accuracy!H48&lt;=Guidance_Accuracy!G48),0,1)</f>
        <v>0</v>
      </c>
      <c r="I1373" s="10" t="str">
        <f aca="false">IF(ABS(H1373)&lt;=0,"PASS","FAIL")</f>
        <v>PASS</v>
      </c>
      <c r="J1373" s="10" t="s">
        <v>4583</v>
      </c>
    </row>
    <row r="1374" customFormat="false" ht="15" hidden="false" customHeight="false" outlineLevel="0" collapsed="false">
      <c r="A1374" s="10" t="s">
        <v>4584</v>
      </c>
      <c r="B1374" s="10" t="s">
        <v>1110</v>
      </c>
      <c r="C1374" s="10" t="s">
        <v>4585</v>
      </c>
      <c r="D1374" s="10" t="s">
        <v>4366</v>
      </c>
      <c r="H1374" s="10" t="n">
        <f aca="false">Guidance_Accuracy!P48+Guidance_Accuracy!Q48+Guidance_Accuracy!R48-1</f>
        <v>0</v>
      </c>
      <c r="I1374" s="10" t="str">
        <f aca="false">IF(ABS(H1374)&lt;=0,"PASS","FAIL")</f>
        <v>PASS</v>
      </c>
      <c r="J1374" s="10" t="s">
        <v>4586</v>
      </c>
    </row>
    <row r="1375" customFormat="false" ht="15" hidden="false" customHeight="false" outlineLevel="0" collapsed="false">
      <c r="A1375" s="10" t="s">
        <v>4587</v>
      </c>
      <c r="B1375" s="10" t="s">
        <v>1110</v>
      </c>
      <c r="C1375" s="10" t="s">
        <v>4588</v>
      </c>
      <c r="D1375" s="10" t="s">
        <v>4366</v>
      </c>
      <c r="H1375" s="10" t="n">
        <f aca="false">IF(AND(Guidance_Accuracy!F49&lt;=Guidance_Accuracy!H49,Guidance_Accuracy!H49&lt;=Guidance_Accuracy!G49),0,1)</f>
        <v>0</v>
      </c>
      <c r="I1375" s="10" t="str">
        <f aca="false">IF(ABS(H1375)&lt;=0,"PASS","FAIL")</f>
        <v>PASS</v>
      </c>
      <c r="J1375" s="10" t="s">
        <v>4589</v>
      </c>
    </row>
    <row r="1376" customFormat="false" ht="15" hidden="false" customHeight="false" outlineLevel="0" collapsed="false">
      <c r="A1376" s="10" t="s">
        <v>4590</v>
      </c>
      <c r="B1376" s="10" t="s">
        <v>1110</v>
      </c>
      <c r="C1376" s="10" t="s">
        <v>4591</v>
      </c>
      <c r="D1376" s="10" t="s">
        <v>4366</v>
      </c>
      <c r="H1376" s="10" t="n">
        <f aca="false">Guidance_Accuracy!P49+Guidance_Accuracy!Q49+Guidance_Accuracy!R49-1</f>
        <v>0</v>
      </c>
      <c r="I1376" s="10" t="str">
        <f aca="false">IF(ABS(H1376)&lt;=0,"PASS","FAIL")</f>
        <v>PASS</v>
      </c>
      <c r="J1376" s="10" t="s">
        <v>4592</v>
      </c>
    </row>
    <row r="1377" customFormat="false" ht="15" hidden="false" customHeight="false" outlineLevel="0" collapsed="false">
      <c r="A1377" s="10" t="s">
        <v>4593</v>
      </c>
      <c r="B1377" s="10" t="s">
        <v>1110</v>
      </c>
      <c r="C1377" s="10" t="s">
        <v>4594</v>
      </c>
      <c r="D1377" s="10" t="s">
        <v>4366</v>
      </c>
      <c r="H1377" s="10" t="n">
        <f aca="false">IF(AND(Guidance_Accuracy!F50&lt;=Guidance_Accuracy!H50,Guidance_Accuracy!H50&lt;=Guidance_Accuracy!G50),0,1)</f>
        <v>0</v>
      </c>
      <c r="I1377" s="10" t="str">
        <f aca="false">IF(ABS(H1377)&lt;=0,"PASS","FAIL")</f>
        <v>PASS</v>
      </c>
      <c r="J1377" s="10" t="s">
        <v>4595</v>
      </c>
    </row>
    <row r="1378" customFormat="false" ht="15" hidden="false" customHeight="false" outlineLevel="0" collapsed="false">
      <c r="A1378" s="10" t="s">
        <v>4596</v>
      </c>
      <c r="B1378" s="10" t="s">
        <v>1110</v>
      </c>
      <c r="C1378" s="10" t="s">
        <v>4597</v>
      </c>
      <c r="D1378" s="10" t="s">
        <v>4366</v>
      </c>
      <c r="H1378" s="10" t="n">
        <f aca="false">Guidance_Accuracy!P50+Guidance_Accuracy!Q50+Guidance_Accuracy!R50-1</f>
        <v>0</v>
      </c>
      <c r="I1378" s="10" t="str">
        <f aca="false">IF(ABS(H1378)&lt;=0,"PASS","FAIL")</f>
        <v>PASS</v>
      </c>
      <c r="J1378" s="10" t="s">
        <v>4598</v>
      </c>
    </row>
    <row r="1379" customFormat="false" ht="15" hidden="false" customHeight="false" outlineLevel="0" collapsed="false">
      <c r="A1379" s="10" t="s">
        <v>4599</v>
      </c>
      <c r="B1379" s="10" t="s">
        <v>1110</v>
      </c>
      <c r="C1379" s="10" t="s">
        <v>4600</v>
      </c>
      <c r="D1379" s="10" t="s">
        <v>4366</v>
      </c>
      <c r="H1379" s="10" t="n">
        <f aca="false">IF(AND(Guidance_Accuracy!F51&lt;=Guidance_Accuracy!H51,Guidance_Accuracy!H51&lt;=Guidance_Accuracy!G51),0,1)</f>
        <v>0</v>
      </c>
      <c r="I1379" s="10" t="str">
        <f aca="false">IF(ABS(H1379)&lt;=0,"PASS","FAIL")</f>
        <v>PASS</v>
      </c>
      <c r="J1379" s="10" t="s">
        <v>4601</v>
      </c>
    </row>
    <row r="1380" customFormat="false" ht="15" hidden="false" customHeight="false" outlineLevel="0" collapsed="false">
      <c r="A1380" s="10" t="s">
        <v>4602</v>
      </c>
      <c r="B1380" s="10" t="s">
        <v>1110</v>
      </c>
      <c r="C1380" s="10" t="s">
        <v>4603</v>
      </c>
      <c r="D1380" s="10" t="s">
        <v>4366</v>
      </c>
      <c r="H1380" s="10" t="n">
        <f aca="false">Guidance_Accuracy!P51+Guidance_Accuracy!Q51+Guidance_Accuracy!R51-1</f>
        <v>0</v>
      </c>
      <c r="I1380" s="10" t="str">
        <f aca="false">IF(ABS(H1380)&lt;=0,"PASS","FAIL")</f>
        <v>PASS</v>
      </c>
      <c r="J1380" s="10" t="s">
        <v>4604</v>
      </c>
    </row>
    <row r="1381" customFormat="false" ht="15" hidden="false" customHeight="false" outlineLevel="0" collapsed="false">
      <c r="A1381" s="10" t="s">
        <v>4605</v>
      </c>
      <c r="B1381" s="10" t="s">
        <v>1110</v>
      </c>
      <c r="C1381" s="10" t="s">
        <v>4606</v>
      </c>
      <c r="D1381" s="10" t="s">
        <v>4366</v>
      </c>
      <c r="H1381" s="10" t="n">
        <f aca="false">IF(AND(Guidance_Accuracy!F57&lt;=Guidance_Accuracy!H57,Guidance_Accuracy!H57&lt;=Guidance_Accuracy!G57),0,1)</f>
        <v>0</v>
      </c>
      <c r="I1381" s="10" t="str">
        <f aca="false">IF(ABS(H1381)&lt;=0,"PASS","FAIL")</f>
        <v>PASS</v>
      </c>
      <c r="J1381" s="10" t="s">
        <v>4607</v>
      </c>
    </row>
    <row r="1382" customFormat="false" ht="15" hidden="false" customHeight="false" outlineLevel="0" collapsed="false">
      <c r="A1382" s="10" t="s">
        <v>4608</v>
      </c>
      <c r="B1382" s="10" t="s">
        <v>1110</v>
      </c>
      <c r="C1382" s="10" t="s">
        <v>4609</v>
      </c>
      <c r="D1382" s="10" t="s">
        <v>4366</v>
      </c>
      <c r="H1382" s="10" t="n">
        <f aca="false">Guidance_Accuracy!P57+Guidance_Accuracy!Q57+Guidance_Accuracy!R57-1</f>
        <v>0</v>
      </c>
      <c r="I1382" s="10" t="str">
        <f aca="false">IF(ABS(H1382)&lt;=0,"PASS","FAIL")</f>
        <v>PASS</v>
      </c>
      <c r="J1382" s="10" t="s">
        <v>4610</v>
      </c>
    </row>
    <row r="1383" customFormat="false" ht="15" hidden="false" customHeight="false" outlineLevel="0" collapsed="false">
      <c r="A1383" s="10" t="s">
        <v>4611</v>
      </c>
      <c r="B1383" s="10" t="s">
        <v>1110</v>
      </c>
      <c r="C1383" s="10" t="s">
        <v>4612</v>
      </c>
      <c r="D1383" s="10" t="s">
        <v>4366</v>
      </c>
      <c r="H1383" s="10" t="n">
        <f aca="false">IF(AND(Guidance_Accuracy!F58&lt;=Guidance_Accuracy!H58,Guidance_Accuracy!H58&lt;=Guidance_Accuracy!G58),0,1)</f>
        <v>0</v>
      </c>
      <c r="I1383" s="10" t="str">
        <f aca="false">IF(ABS(H1383)&lt;=0,"PASS","FAIL")</f>
        <v>PASS</v>
      </c>
      <c r="J1383" s="10" t="s">
        <v>4613</v>
      </c>
    </row>
    <row r="1384" customFormat="false" ht="15" hidden="false" customHeight="false" outlineLevel="0" collapsed="false">
      <c r="A1384" s="10" t="s">
        <v>4614</v>
      </c>
      <c r="B1384" s="10" t="s">
        <v>1110</v>
      </c>
      <c r="C1384" s="10" t="s">
        <v>4615</v>
      </c>
      <c r="D1384" s="10" t="s">
        <v>4366</v>
      </c>
      <c r="H1384" s="10" t="n">
        <f aca="false">Guidance_Accuracy!P58+Guidance_Accuracy!Q58+Guidance_Accuracy!R58-1</f>
        <v>0</v>
      </c>
      <c r="I1384" s="10" t="str">
        <f aca="false">IF(ABS(H1384)&lt;=0,"PASS","FAIL")</f>
        <v>PASS</v>
      </c>
      <c r="J1384" s="10" t="s">
        <v>4616</v>
      </c>
    </row>
    <row r="1385" customFormat="false" ht="15" hidden="false" customHeight="false" outlineLevel="0" collapsed="false">
      <c r="A1385" s="10" t="s">
        <v>4617</v>
      </c>
      <c r="B1385" s="10" t="s">
        <v>1110</v>
      </c>
      <c r="C1385" s="10" t="s">
        <v>4618</v>
      </c>
      <c r="D1385" s="10" t="s">
        <v>4366</v>
      </c>
      <c r="H1385" s="10" t="n">
        <f aca="false">IF(AND(Guidance_Accuracy!F59&lt;=Guidance_Accuracy!H59,Guidance_Accuracy!H59&lt;=Guidance_Accuracy!G59),0,1)</f>
        <v>0</v>
      </c>
      <c r="I1385" s="10" t="str">
        <f aca="false">IF(ABS(H1385)&lt;=0,"PASS","FAIL")</f>
        <v>PASS</v>
      </c>
      <c r="J1385" s="10" t="s">
        <v>4619</v>
      </c>
    </row>
    <row r="1386" customFormat="false" ht="15" hidden="false" customHeight="false" outlineLevel="0" collapsed="false">
      <c r="A1386" s="10" t="s">
        <v>4620</v>
      </c>
      <c r="B1386" s="10" t="s">
        <v>1110</v>
      </c>
      <c r="C1386" s="10" t="s">
        <v>4621</v>
      </c>
      <c r="D1386" s="10" t="s">
        <v>4366</v>
      </c>
      <c r="H1386" s="10" t="n">
        <f aca="false">Guidance_Accuracy!P59+Guidance_Accuracy!Q59+Guidance_Accuracy!R59-1</f>
        <v>0</v>
      </c>
      <c r="I1386" s="10" t="str">
        <f aca="false">IF(ABS(H1386)&lt;=0,"PASS","FAIL")</f>
        <v>PASS</v>
      </c>
      <c r="J1386" s="10" t="s">
        <v>4622</v>
      </c>
    </row>
    <row r="1387" customFormat="false" ht="15" hidden="false" customHeight="false" outlineLevel="0" collapsed="false">
      <c r="A1387" s="10" t="s">
        <v>4623</v>
      </c>
      <c r="B1387" s="10" t="s">
        <v>1110</v>
      </c>
      <c r="C1387" s="10" t="s">
        <v>4624</v>
      </c>
      <c r="D1387" s="10" t="s">
        <v>4366</v>
      </c>
      <c r="H1387" s="10" t="n">
        <f aca="false">IF(AND(Guidance_Accuracy!F60&lt;=Guidance_Accuracy!H60,Guidance_Accuracy!H60&lt;=Guidance_Accuracy!G60),0,1)</f>
        <v>0</v>
      </c>
      <c r="I1387" s="10" t="str">
        <f aca="false">IF(ABS(H1387)&lt;=0,"PASS","FAIL")</f>
        <v>PASS</v>
      </c>
      <c r="J1387" s="10" t="s">
        <v>4625</v>
      </c>
    </row>
    <row r="1388" customFormat="false" ht="15" hidden="false" customHeight="false" outlineLevel="0" collapsed="false">
      <c r="A1388" s="10" t="s">
        <v>4626</v>
      </c>
      <c r="B1388" s="10" t="s">
        <v>1110</v>
      </c>
      <c r="C1388" s="10" t="s">
        <v>4627</v>
      </c>
      <c r="D1388" s="10" t="s">
        <v>4366</v>
      </c>
      <c r="H1388" s="10" t="n">
        <f aca="false">Guidance_Accuracy!P60+Guidance_Accuracy!Q60+Guidance_Accuracy!R60-1</f>
        <v>0</v>
      </c>
      <c r="I1388" s="10" t="str">
        <f aca="false">IF(ABS(H1388)&lt;=0,"PASS","FAIL")</f>
        <v>PASS</v>
      </c>
      <c r="J1388" s="10" t="s">
        <v>4628</v>
      </c>
    </row>
    <row r="1389" customFormat="false" ht="15" hidden="false" customHeight="false" outlineLevel="0" collapsed="false">
      <c r="A1389" s="10" t="s">
        <v>4629</v>
      </c>
      <c r="B1389" s="10" t="s">
        <v>1111</v>
      </c>
      <c r="C1389" s="10" t="s">
        <v>4630</v>
      </c>
      <c r="D1389" s="10" t="s">
        <v>4366</v>
      </c>
      <c r="H1389" s="10" t="n">
        <f aca="false">Cash_Conversion!B54-Cash_Conversion!E48</f>
        <v>0</v>
      </c>
      <c r="I1389" s="10" t="str">
        <f aca="false">IF(ABS(H1389)&lt;=0.5,"PASS","FAIL")</f>
        <v>PASS</v>
      </c>
      <c r="J1389" s="10" t="s">
        <v>4631</v>
      </c>
    </row>
    <row r="1390" customFormat="false" ht="15" hidden="false" customHeight="false" outlineLevel="0" collapsed="false">
      <c r="A1390" s="10" t="s">
        <v>4632</v>
      </c>
      <c r="B1390" s="10" t="s">
        <v>1111</v>
      </c>
      <c r="C1390" s="10" t="s">
        <v>4633</v>
      </c>
      <c r="D1390" s="10" t="s">
        <v>4366</v>
      </c>
      <c r="H1390" s="10" t="n">
        <f aca="false">Cash_Conversion!H49-Cash_Conversion!B62</f>
        <v>0</v>
      </c>
      <c r="I1390" s="10" t="str">
        <f aca="false">IF(ABS(H1390)&lt;=0.5,"PASS","FAIL")</f>
        <v>PASS</v>
      </c>
      <c r="J1390" s="10" t="s">
        <v>4634</v>
      </c>
    </row>
    <row r="1391" customFormat="false" ht="15" hidden="false" customHeight="false" outlineLevel="0" collapsed="false">
      <c r="A1391" s="10" t="s">
        <v>4635</v>
      </c>
      <c r="B1391" s="10" t="s">
        <v>1111</v>
      </c>
      <c r="C1391" s="10" t="s">
        <v>4636</v>
      </c>
      <c r="D1391" s="10" t="s">
        <v>4366</v>
      </c>
      <c r="H1391" s="10" t="n">
        <f aca="false">Cash_Conversion!H52-Cash_Conversion!B63</f>
        <v>0</v>
      </c>
      <c r="I1391" s="10" t="str">
        <f aca="false">IF(ABS(H1391)&lt;=0.5,"PASS","FAIL")</f>
        <v>PASS</v>
      </c>
      <c r="J1391" s="10" t="s">
        <v>4637</v>
      </c>
    </row>
    <row r="1392" customFormat="false" ht="15" hidden="false" customHeight="false" outlineLevel="0" collapsed="false">
      <c r="A1392" s="10" t="s">
        <v>4638</v>
      </c>
      <c r="B1392" s="10" t="s">
        <v>1111</v>
      </c>
      <c r="C1392" s="10" t="s">
        <v>4639</v>
      </c>
      <c r="D1392" s="10" t="s">
        <v>4366</v>
      </c>
      <c r="H1392" s="10" t="n">
        <f aca="false">Cash_Conversion!H48+SUM(Cash_Conversion!H49:H53)-Cash_Conversion!H54</f>
        <v>0</v>
      </c>
      <c r="I1392" s="10" t="str">
        <f aca="false">IF(ABS(H1392)&lt;=0.5,"PASS","FAIL")</f>
        <v>PASS</v>
      </c>
      <c r="J1392" s="10" t="s">
        <v>4640</v>
      </c>
    </row>
    <row r="1393" customFormat="false" ht="15" hidden="false" customHeight="false" outlineLevel="0" collapsed="false">
      <c r="A1393" s="10" t="s">
        <v>4641</v>
      </c>
      <c r="B1393" s="10" t="s">
        <v>1112</v>
      </c>
      <c r="C1393" s="10" t="s">
        <v>4642</v>
      </c>
      <c r="D1393" s="10" t="s">
        <v>4366</v>
      </c>
      <c r="H1393" s="10" t="n">
        <f aca="false">Deceleration!B26+Deceleration!B27-Deceleration!C39</f>
        <v>0</v>
      </c>
      <c r="I1393" s="10" t="str">
        <f aca="false">IF(ABS(H1393)&lt;=0.5,"PASS","FAIL")</f>
        <v>PASS</v>
      </c>
      <c r="J1393" s="10" t="s">
        <v>4643</v>
      </c>
    </row>
    <row r="1394" customFormat="false" ht="15" hidden="false" customHeight="false" outlineLevel="0" collapsed="false">
      <c r="A1394" s="10" t="s">
        <v>4644</v>
      </c>
      <c r="B1394" s="10" t="s">
        <v>1112</v>
      </c>
      <c r="C1394" s="10" t="s">
        <v>4645</v>
      </c>
      <c r="D1394" s="10" t="s">
        <v>4366</v>
      </c>
      <c r="H1394" s="10" t="n">
        <f aca="false">Deceleration!B24+Deceleration!B25-Deceleration!C43</f>
        <v>0</v>
      </c>
      <c r="I1394" s="10" t="str">
        <f aca="false">IF(ABS(H1394)&lt;=0.5,"PASS","FAIL")</f>
        <v>PASS</v>
      </c>
      <c r="J1394" s="10" t="s">
        <v>4646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2026-10-28T19:03:44Z</dcterms:created>
  <dc:creator>openpyxl</dc:creator>
  <dc:description/>
  <dc:language>en-US</dc:language>
  <cp:lastModifiedBy/>
  <dcterms:modified xsi:type="dcterms:W3CDTF">2026-10-28T19:03:44Z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